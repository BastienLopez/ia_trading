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b41a7fb2e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72d0790f2f34734"/>
    <x:sheet xmlns:r="http://schemas.openxmlformats.org/officeDocument/2006/relationships" name="Journal_Trades" sheetId="2" r:id="Raf641209f3f547d3"/>
    <x:sheet xmlns:r="http://schemas.openxmlformats.org/officeDocument/2006/relationships" name="Observations_Signaux" sheetId="3" r:id="R73ddae28716b4dbe"/>
    <x:sheet xmlns:r="http://schemas.openxmlformats.org/officeDocument/2006/relationships" name="Parametres" sheetId="4" r:id="Rf121ebafd764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;[Red]($#,##0.00);-"/>
    <x:numFmt numFmtId="201" formatCode="0.00%;[Red](0.00%);-"/>
    <x:numFmt numFmtId="202" formatCode="dd/mm/yyyy"/>
    <x:numFmt numFmtId="203" formatCode="dd/mm/yyyy hh:mm"/>
    <x:numFmt numFmtId="204" formatCode="0.00000000"/>
    <x:numFmt numFmtId="205" formatCode="0.0"/>
    <x:numFmt numFmtId="206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7F6000"/>
      <x:name val="Carlito"/>
    </x:font>
    <x:font>
      <x:sz val="11"/>
      <x:color rgb="FF000000"/>
      <x:name val="Carlito"/>
    </x:font>
    <x:font>
      <x:sz val="11"/>
      <x:color rgb="FF47556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wrapText="1"/>
    </x:xf>
    <x:xf numFmtId="205" fontId="5" fillId="0" borderId="1" xfId="0" applyNumberFormat="1" applyFont="1" applyFill="1" applyBorder="1" applyAlignment="1">
      <x:alignment wrapText="1"/>
    </x:xf>
    <x:xf numFmtId="205" fontId="3" fillId="0" borderId="0" xfId="0" applyNumberFormat="1" applyFont="1" applyFill="1" applyBorder="1" applyAlignment="1">
      <x:alignment wrapText="1"/>
    </x:xf>
    <x:xf numFmtId="205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6" fontId="5" fillId="0" borderId="0" xfId="0" applyNumberFormat="1" applyFont="1" applyFill="1" applyBorder="1"/>
    <x:xf numFmtId="206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left"/>
    </x:xf>
    <x:xf numFmtId="0" fontId="2" fillId="6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c35dbeb8848d7" /><Relationship Type="http://schemas.openxmlformats.org/officeDocument/2006/relationships/theme" Target="/xl/theme/theme1.xml" Id="R8eb1522023ab4ce1" /><Relationship Type="http://schemas.openxmlformats.org/officeDocument/2006/relationships/sharedStrings" Target="/xl/sharedStrings.xml" Id="R5c0657f553124f3f" /><Relationship Type="http://schemas.openxmlformats.org/officeDocument/2006/relationships/worksheet" Target="/xl/worksheets/sheet1.xml" Id="Ra72d0790f2f34734" /><Relationship Type="http://schemas.openxmlformats.org/officeDocument/2006/relationships/worksheet" Target="/xl/worksheets/sheet2.xml" Id="Raf641209f3f547d3" /><Relationship Type="http://schemas.openxmlformats.org/officeDocument/2006/relationships/worksheet" Target="/xl/worksheets/sheet3.xml" Id="R73ddae28716b4dbe" /><Relationship Type="http://schemas.openxmlformats.org/officeDocument/2006/relationships/worksheet" Target="/xl/worksheets/sheet4.xml" Id="Rf121ebafd76447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7614fe043e48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P&amp;L net par trade (10 premiers)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P&amp;L net (USD)</c:v>
          </c:tx>
          <c:cat>
            <c:strRef>
              <c:f>'Dashboard'!$A$24:$A$33</c:f>
              <c:strCache>
                <c:ptCount val="0"/>
              </c:strCache>
            </c:strRef>
          </c:cat>
          <c:val>
            <c:numRef>
              <c:f>'Dashboard'!$B$24:$B$33</c:f>
              <c:numCache>
                <c:formatCode>$#,##0.00;[Red]($#,##0.00);-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7614fe043e48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desTable" displayName="TradesTable" ref="A3:X53" headerRowCount="1" totalsRowCount="0" totalsRowShown="0">
  <x:tableColumns count="24">
    <x:tableColumn id="1" name="ID"/>
    <x:tableColumn id="2" name="Date entrée"/>
    <x:tableColumn id="3" name="TF"/>
    <x:tableColumn id="4" name="Signal entrée"/>
    <x:tableColumn id="5" name="Type entrée"/>
    <x:tableColumn id="6" name="Prix entrée"/>
    <x:tableColumn id="7" name="Quantité BTC"/>
    <x:tableColumn id="8" name="Capital engagé (USD)"/>
    <x:tableColumn id="9" name="Date sortie"/>
    <x:tableColumn id="10" name="Signal sortie"/>
    <x:tableColumn id="11" name="Prix sortie"/>
    <x:tableColumn id="12" name="TP partiel exécuté ?"/>
    <x:tableColumn id="13" name="% TP"/>
    <x:tableColumn id="14" name="Prix TP"/>
    <x:tableColumn id="15" name="Frais + slippage (USD)"/>
    <x:tableColumn id="16" name="P&amp;L brut (USD)"/>
    <x:tableColumn id="17" name="P&amp;L net (USD)"/>
    <x:tableColumn id="18" name="P&amp;L net %"/>
    <x:tableColumn id="19" name="Durée (jours)"/>
    <x:tableColumn id="20" name="MFE %"/>
    <x:tableColumn id="21" name="MAE %"/>
    <x:tableColumn id="22" name="Respect du script ?"/>
    <x:tableColumn id="23" name="Résultat"/>
    <x:tableColumn id="24" name="Notes / contex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servationsTable" displayName="ObservationsTable" ref="A3:V103" headerRowCount="1" totalsRowCount="0" totalsRowShown="0">
  <x:tableColumns count="22">
    <x:tableColumn id="1" name="Date / heure"/>
    <x:tableColumn id="2" name="TF"/>
    <x:tableColumn id="3" name="Cours BTC"/>
    <x:tableColumn id="4" name="Signal script"/>
    <x:tableColumn id="5" name="Position modèle"/>
    <x:tableColumn id="6" name="Entrée modèle"/>
    <x:tableColumn id="7" name="P&amp;L modèle %"/>
    <x:tableColumn id="8" name="Régime"/>
    <x:tableColumn id="9" name="Contexte HTF"/>
    <x:tableColumn id="10" name="MACD rank %"/>
    <x:tableColumn id="11" name="Momentum"/>
    <x:tableColumn id="12" name="RSI"/>
    <x:tableColumn id="13" name="EMA20"/>
    <x:tableColumn id="14" name="EMA50"/>
    <x:tableColumn id="15" name="Support proche"/>
    <x:tableColumn id="16" name="Résistance proche"/>
    <x:tableColumn id="17" name="Action que j'aurais prise"/>
    <x:tableColumn id="18" name="Problème constaté"/>
    <x:tableColumn id="19" name="Gravité 1-5"/>
    <x:tableColumn id="20" name="Signal aurait-il dû changer ?"/>
    <x:tableColumn id="21" name="Call idéal selon recul"/>
    <x:tableColumn id="22" name="Capture / lien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2f8912f3084d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1c8b0e95bc40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06d44b79f4eb8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BTC SIGNALS V4 — DASHBOARD DE TEST 7 JOURS</x:v>
      </x:c>
      <x:c r="B1" s="5"/>
      <x:c r="C1" s="5"/>
      <x:c r="D1" s="5"/>
      <x:c r="E1" s="5"/>
      <x:c r="F1" s="5"/>
      <x:c r="G1" s="5"/>
      <x:c r="H1" s="5"/>
    </x:row>
    <x:row r="3">
      <x:c r="A3" s="62" t="str">
        <x:v>Objectif : tester le comportement réel du script sans argent réel, puis me renvoyer ce fichier après 7 jours.</x:v>
      </x:c>
      <x:c r="B3" s="62"/>
      <x:c r="C3" s="62"/>
      <x:c r="D3" s="62"/>
      <x:c r="E3" s="62"/>
      <x:c r="F3" s="62"/>
      <x:c r="G3" s="62"/>
      <x:c r="H3" s="62"/>
    </x:row>
    <x:row r="5">
      <x:c r="A5" s="14" t="str">
        <x:v>KPI</x:v>
      </x:c>
      <x:c r="B5" s="14" t="str">
        <x:v>Valeur</x:v>
      </x:c>
      <x:c r="D5" s="77" t="str">
        <x:v>CHECKLIST À FAIRE CHAQUE SOIR</x:v>
      </x:c>
      <x:c r="E5" s="77"/>
      <x:c r="F5" s="77"/>
      <x:c r="G5" s="77"/>
      <x:c r="H5" s="77"/>
    </x:row>
    <x:row r="6" ht="28" customHeight="1">
      <x:c r="A6" t="str">
        <x:v>Trades enregistrés</x:v>
      </x:c>
      <x:c r="B6" s="66" t="n">
        <x:f>COUNTIF(Journal_Trades!B4:B53,"&lt;&gt;")</x:f>
        <x:v>0</x:v>
      </x:c>
      <x:c r="D6" s="62" t="str">
        <x:v>1. Après la clôture 1D, recopier le dashboard du script.</x:v>
      </x:c>
      <x:c r="E6" s="62"/>
      <x:c r="F6" s="62"/>
      <x:c r="G6" s="62"/>
      <x:c r="H6" s="62"/>
    </x:row>
    <x:row r="7" ht="28" customHeight="1">
      <x:c r="A7" t="str">
        <x:v>Trades clôturés</x:v>
      </x:c>
      <x:c r="B7" s="66" t="n">
        <x:f>COUNTIF(Journal_Trades!W4:W53,"GAGNANT")+COUNTIF(Journal_Trades!W4:W53,"PERDANT")+COUNTIF(Journal_Trades!W4:W53,"FLAT")</x:f>
        <x:v>0</x:v>
      </x:c>
      <x:c r="D7" s="62" t="str">
        <x:v>2. Noter le call : WAIT / WATCH / BUY / HOLD / TP / SELL.</x:v>
      </x:c>
      <x:c r="E7" s="62"/>
      <x:c r="F7" s="62"/>
      <x:c r="G7" s="62"/>
      <x:c r="H7" s="62"/>
    </x:row>
    <x:row r="8" ht="28" customHeight="1">
      <x:c r="A8" t="str">
        <x:v>Trades gagnants</x:v>
      </x:c>
      <x:c r="B8" s="66" t="n">
        <x:f>COUNTIF(Journal_Trades!W4:W53,"GAGNANT")</x:f>
        <x:v>0</x:v>
      </x:c>
      <x:c r="D8" s="62" t="str">
        <x:v>3. Si ordre Paper Trading : l'ajouter dans Journal_Trades.</x:v>
      </x:c>
      <x:c r="E8" s="62"/>
      <x:c r="F8" s="62"/>
      <x:c r="G8" s="62"/>
      <x:c r="H8" s="62"/>
    </x:row>
    <x:row r="9" ht="28" customHeight="1">
      <x:c r="A9" t="str">
        <x:v>Trades perdants</x:v>
      </x:c>
      <x:c r="B9" s="66" t="n">
        <x:f>COUNTIF(Journal_Trades!W4:W53,"PERDANT")</x:f>
        <x:v>0</x:v>
      </x:c>
      <x:c r="D9" s="62" t="str">
        <x:v>4. Ne pas modifier le Pine Script pendant la semaine.</x:v>
      </x:c>
      <x:c r="E9" s="62"/>
      <x:c r="F9" s="62"/>
      <x:c r="G9" s="62"/>
      <x:c r="H9" s="62"/>
    </x:row>
    <x:row r="10" ht="28" customHeight="1">
      <x:c r="A10" t="str">
        <x:v>Win rate</x:v>
      </x:c>
      <x:c r="B10" s="68" t="n">
        <x:f>IF(B7=0,0,B8/B7)</x:f>
        <x:v>0</x:v>
      </x:c>
      <x:c r="D10" s="62" t="str">
        <x:v>5. Noter les problèmes même sans ordre.</x:v>
      </x:c>
      <x:c r="E10" s="62"/>
      <x:c r="F10" s="62"/>
      <x:c r="G10" s="62"/>
      <x:c r="H10" s="62"/>
    </x:row>
    <x:row r="11" ht="28" customHeight="1">
      <x:c r="A11" t="str">
        <x:v>P&amp;L net total (USD)</x:v>
      </x:c>
      <x:c r="B11" s="70" t="n">
        <x:f>SUM(Journal_Trades!Q4:Q53)</x:f>
        <x:v>0</x:v>
      </x:c>
      <x:c r="D11" s="62" t="str">
        <x:v>6. Weekly : observer chaque jour, mais ne juger un nouveau call qu'à la clôture Weekly.</x:v>
      </x:c>
      <x:c r="E11" s="62"/>
      <x:c r="F11" s="62"/>
      <x:c r="G11" s="62"/>
      <x:c r="H11" s="62"/>
    </x:row>
    <x:row r="12" ht="28" customHeight="1">
      <x:c r="A12" t="str">
        <x:v>P&amp;L net moyen / trade (USD)</x:v>
      </x:c>
      <x:c r="B12" s="70" t="n">
        <x:f>IF(B7=0,0,B11/B7)</x:f>
        <x:v>0</x:v>
      </x:c>
      <x:c r="D12" s="62" t="str">
        <x:v>7. Après 7 jours : renvoyer ce fichier + captures des cas bizarres.</x:v>
      </x:c>
      <x:c r="E12" s="62"/>
      <x:c r="F12" s="62"/>
      <x:c r="G12" s="62"/>
      <x:c r="H12" s="62"/>
    </x:row>
    <x:row r="13">
      <x:c r="A13" t="str">
        <x:v>Gain moyen % (gagnants)</x:v>
      </x:c>
      <x:c r="B13" s="72" t="n">
        <x:f>IFERROR(AVERAGEIF(Journal_Trades!R4:R53,"&gt;0",Journal_Trades!R4:R53),0)</x:f>
        <x:v>0</x:v>
      </x:c>
    </x:row>
    <x:row r="14">
      <x:c r="A14" t="str">
        <x:v>Perte moyenne % (perdants)</x:v>
      </x:c>
      <x:c r="B14" s="72" t="n">
        <x:f>IFERROR(AVERAGEIF(Journal_Trades!R4:R53,"&lt;0",Journal_Trades!R4:R53),0)</x:f>
        <x:v>0</x:v>
      </x:c>
      <x:c r="D14" s="77" t="str">
        <x:v>CE QU'ON CHERCHERA À CORRIGER APRÈS LE TEST</x:v>
      </x:c>
      <x:c r="E14" s="77"/>
      <x:c r="F14" s="77"/>
      <x:c r="G14" s="77"/>
      <x:c r="H14" s="77"/>
    </x:row>
    <x:row r="15">
      <x:c r="A15" t="str">
        <x:v>Observations script</x:v>
      </x:c>
      <x:c r="B15" s="66" t="n">
        <x:f>COUNTIF(Observations_Signaux!A4:A103,"&lt;&gt;")</x:f>
        <x:v>14</x:v>
      </x:c>
      <x:c r="D15" s="62" t="str">
        <x:v>• BUY trop tôt / trop tard / manqué</x:v>
      </x:c>
      <x:c r="E15" s="62"/>
      <x:c r="F15" s="62"/>
      <x:c r="G15" s="62"/>
      <x:c r="H15" s="62"/>
    </x:row>
    <x:row r="16">
      <x:c r="A16" t="str">
        <x:v>Problèmes détectés</x:v>
      </x:c>
      <x:c r="B16" s="66" t="n">
        <x:f>COUNTIFS(Observations_Signaux!R4:R103,"&lt;&gt;",Observations_Signaux!R4:R103,"&lt;&gt;OK")</x:f>
        <x:v>0</x:v>
      </x:c>
      <x:c r="D16" s="62" t="str">
        <x:v>• HOLD qui laisse trop de gain repartir</x:v>
      </x:c>
      <x:c r="E16" s="62"/>
      <x:c r="F16" s="62"/>
      <x:c r="G16" s="62"/>
      <x:c r="H16" s="62"/>
    </x:row>
    <x:row r="17">
      <x:c r="A17" t="str">
        <x:v>BUY manqués</x:v>
      </x:c>
      <x:c r="B17" s="66" t="n">
        <x:f>COUNTIF(Observations_Signaux!R4:R103,"BUY manqué")</x:f>
        <x:v>0</x:v>
      </x:c>
      <x:c r="D17" s="62" t="str">
        <x:v>• TP trop rare ou trop fréquent</x:v>
      </x:c>
      <x:c r="E17" s="62"/>
      <x:c r="F17" s="62"/>
      <x:c r="G17" s="62"/>
      <x:c r="H17" s="62"/>
    </x:row>
    <x:row r="18">
      <x:c r="A18" t="str">
        <x:v>SELL manqués</x:v>
      </x:c>
      <x:c r="B18" s="66" t="n">
        <x:f>COUNTIF(Observations_Signaux!R4:R103,"SELL manqué")</x:f>
        <x:v>0</x:v>
      </x:c>
      <x:c r="D18" s="62" t="str">
        <x:v>• SELL trop tardif / trop sensible</x:v>
      </x:c>
      <x:c r="E18" s="62"/>
      <x:c r="F18" s="62"/>
      <x:c r="G18" s="62"/>
      <x:c r="H18" s="62"/>
    </x:row>
    <x:row r="19">
      <x:c r="A19" t="str">
        <x:v>TP manqués</x:v>
      </x:c>
      <x:c r="B19" s="66" t="n">
        <x:f>COUNTIF(Observations_Signaux!R4:R103,"TP manqué")</x:f>
        <x:v>0</x:v>
      </x:c>
      <x:c r="D19" s="62" t="str">
        <x:v>• Whipsaws dans les ranges</x:v>
      </x:c>
      <x:c r="E19" s="62"/>
      <x:c r="F19" s="62"/>
      <x:c r="G19" s="62"/>
      <x:c r="H19" s="62"/>
    </x:row>
    <x:row r="20">
      <x:c r="A20" t="str">
        <x:v>Whipsaws</x:v>
      </x:c>
      <x:c r="B20" s="66" t="n">
        <x:f>COUNTIF(Observations_Signaux!R4:R103,"Whipsaw")</x:f>
        <x:v>0</x:v>
      </x:c>
      <x:c r="D20" s="62" t="str">
        <x:v>• Désaccord Daily ↔ Weekly</x:v>
      </x:c>
      <x:c r="E20" s="62"/>
      <x:c r="F20" s="62"/>
      <x:c r="G20" s="62"/>
      <x:c r="H20" s="62"/>
    </x:row>
    <x:row r="21">
      <x:c r="D21" s="62" t="str">
        <x:v>• S/R trop nombreuses ou peu utiles</x:v>
      </x:c>
      <x:c r="E21" s="62"/>
      <x:c r="F21" s="62"/>
      <x:c r="G21" s="62"/>
      <x:c r="H21" s="62"/>
    </x:row>
    <x:row r="22">
      <x:c r="D22" s="62" t="str">
        <x:v>• Dashboard / labels pas assez lisibles</x:v>
      </x:c>
      <x:c r="E22" s="62"/>
      <x:c r="F22" s="62"/>
      <x:c r="G22" s="62"/>
      <x:c r="H22" s="62"/>
    </x:row>
    <x:row r="23">
      <x:c r="A23" s="14" t="str">
        <x:v>Trade ID</x:v>
      </x:c>
      <x:c r="B23" s="14" t="str">
        <x:v>P&amp;L net (USD)</x:v>
      </x:c>
    </x:row>
    <x:row r="24">
      <x:c r="A24" t="n">
        <x:f>Journal_Trades!A4</x:f>
        <x:v>0</x:v>
      </x:c>
      <x:c r="B24" s="82" t="str">
        <x:f>Journal_Trades!Q4</x:f>
      </x:c>
    </x:row>
    <x:row r="25">
      <x:c r="A25" t="n">
        <x:f>Journal_Trades!A5</x:f>
        <x:v>0</x:v>
      </x:c>
      <x:c r="B25" s="82" t="str">
        <x:f>Journal_Trades!Q5</x:f>
      </x:c>
    </x:row>
    <x:row r="26">
      <x:c r="A26" t="n">
        <x:f>Journal_Trades!A6</x:f>
        <x:v>0</x:v>
      </x:c>
      <x:c r="B26" s="82" t="str">
        <x:f>Journal_Trades!Q6</x:f>
      </x:c>
    </x:row>
    <x:row r="27">
      <x:c r="A27" t="n">
        <x:f>Journal_Trades!A7</x:f>
        <x:v>0</x:v>
      </x:c>
      <x:c r="B27" s="82" t="str">
        <x:f>Journal_Trades!Q7</x:f>
      </x:c>
    </x:row>
    <x:row r="28">
      <x:c r="A28" t="n">
        <x:f>Journal_Trades!A8</x:f>
        <x:v>0</x:v>
      </x:c>
      <x:c r="B28" s="82" t="str">
        <x:f>Journal_Trades!Q8</x:f>
      </x:c>
    </x:row>
    <x:row r="29">
      <x:c r="A29" t="n">
        <x:f>Journal_Trades!A9</x:f>
        <x:v>0</x:v>
      </x:c>
      <x:c r="B29" s="82" t="str">
        <x:f>Journal_Trades!Q9</x:f>
      </x:c>
    </x:row>
    <x:row r="30">
      <x:c r="A30" t="n">
        <x:f>Journal_Trades!A10</x:f>
        <x:v>0</x:v>
      </x:c>
      <x:c r="B30" s="82" t="str">
        <x:f>Journal_Trades!Q10</x:f>
      </x:c>
    </x:row>
    <x:row r="31">
      <x:c r="A31" t="n">
        <x:f>Journal_Trades!A11</x:f>
        <x:v>0</x:v>
      </x:c>
      <x:c r="B31" s="82" t="str">
        <x:f>Journal_Trades!Q11</x:f>
      </x:c>
    </x:row>
    <x:row r="32">
      <x:c r="A32" t="n">
        <x:f>Journal_Trades!A12</x:f>
        <x:v>0</x:v>
      </x:c>
      <x:c r="B32" s="82" t="str">
        <x:f>Journal_Trades!Q12</x:f>
      </x:c>
    </x:row>
    <x:row r="33">
      <x:c r="A33" t="n">
        <x:f>Journal_Trades!A13</x:f>
        <x:v>0</x:v>
      </x:c>
      <x:c r="B33" s="82" t="str">
        <x:f>Journal_Trades!Q13</x:f>
      </x:c>
    </x:row>
  </x:sheetData>
  <x:mergeCells>
    <x:mergeCell ref="A1:H1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D22:H22"/>
  </x:mergeCells>
  <x:pageMargins left="0.7" right="0.7" top="0.75" bottom="0.75" header="0.3" footer="0.3"/>
  <x:drawing xmlns:r="http://schemas.openxmlformats.org/officeDocument/2006/relationships" r:id="R932f8912f3084d58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8" hidden="0" customWidth="1"/>
    <x:col min="4" max="4" width="14" hidden="0" customWidth="1"/>
    <x:col min="5" max="5" width="15" hidden="0" customWidth="1"/>
    <x:col min="6" max="6" width="13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3" hidden="0" customWidth="1"/>
    <x:col min="12" max="12" width="16" hidden="0" customWidth="1"/>
    <x:col min="13" max="13" width="10" hidden="0" customWidth="1"/>
    <x:col min="14" max="14" width="13" hidden="0" customWidth="1"/>
    <x:col min="15" max="15" width="18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0" hidden="0" customWidth="1"/>
    <x:col min="21" max="21" width="10" hidden="0" customWidth="1"/>
    <x:col min="22" max="22" width="18" hidden="0" customWidth="1"/>
    <x:col min="23" max="23" width="12" hidden="0" customWidth="1"/>
    <x:col min="24" max="24" width="42" hidden="0" customWidth="1"/>
  </x:cols>
  <x:sheetData>
    <x:row r="1">
      <x:c r="A1" s="5" t="str">
        <x:v>JOURNAL PAPER TRADING — ORDRES RÉELLEMENT SIMULÉS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3">
      <x:c r="A3" s="14" t="str">
        <x:v>ID</x:v>
      </x:c>
      <x:c r="B3" s="14" t="str">
        <x:v>Date entrée</x:v>
      </x:c>
      <x:c r="C3" s="14" t="str">
        <x:v>TF</x:v>
      </x:c>
      <x:c r="D3" s="14" t="str">
        <x:v>Signal entrée</x:v>
      </x:c>
      <x:c r="E3" s="14" t="str">
        <x:v>Type entrée</x:v>
      </x:c>
      <x:c r="F3" s="14" t="str">
        <x:v>Prix entrée</x:v>
      </x:c>
      <x:c r="G3" s="14" t="str">
        <x:v>Quantité BTC</x:v>
      </x:c>
      <x:c r="H3" s="14" t="str">
        <x:v>Capital engagé (USD)</x:v>
      </x:c>
      <x:c r="I3" s="14" t="str">
        <x:v>Date sortie</x:v>
      </x:c>
      <x:c r="J3" s="14" t="str">
        <x:v>Signal sortie</x:v>
      </x:c>
      <x:c r="K3" s="14" t="str">
        <x:v>Prix sortie</x:v>
      </x:c>
      <x:c r="L3" s="14" t="str">
        <x:v>TP partiel exécuté ?</x:v>
      </x:c>
      <x:c r="M3" s="14" t="str">
        <x:v>% TP</x:v>
      </x:c>
      <x:c r="N3" s="14" t="str">
        <x:v>Prix TP</x:v>
      </x:c>
      <x:c r="O3" s="14" t="str">
        <x:v>Frais + slippage (USD)</x:v>
      </x:c>
      <x:c r="P3" s="14" t="str">
        <x:v>P&amp;L brut (USD)</x:v>
      </x:c>
      <x:c r="Q3" s="14" t="str">
        <x:v>P&amp;L net (USD)</x:v>
      </x:c>
      <x:c r="R3" s="14" t="str">
        <x:v>P&amp;L net %</x:v>
      </x:c>
      <x:c r="S3" s="14" t="str">
        <x:v>Durée (jours)</x:v>
      </x:c>
      <x:c r="T3" s="14" t="str">
        <x:v>MFE %</x:v>
      </x:c>
      <x:c r="U3" s="14" t="str">
        <x:v>MAE %</x:v>
      </x:c>
      <x:c r="V3" s="14" t="str">
        <x:v>Respect du script ?</x:v>
      </x:c>
      <x:c r="W3" s="14" t="str">
        <x:v>Résultat</x:v>
      </x:c>
      <x:c r="X3" s="14" t="str">
        <x:v>Notes / contexte</x:v>
      </x:c>
    </x:row>
    <x:row r="4">
      <x:c r="A4" s="36" t="str">
        <x:f>IF(B4="","",ROW()-3)</x:f>
      </x:c>
      <x:c r="B4" s="42"/>
      <x:c r="C4" s="38"/>
      <x:c r="D4" s="38"/>
      <x:c r="E4" s="38"/>
      <x:c r="F4" s="46"/>
      <x:c r="G4" s="50"/>
      <x:c r="H4" s="48" t="str">
        <x:f>IF(OR(F4="",G4=""),"",F4*G4)</x:f>
      </x:c>
      <x:c r="I4" s="44"/>
      <x:c r="J4" s="40"/>
      <x:c r="K4" s="48"/>
      <x:c r="L4" s="40"/>
      <x:c r="M4" s="52"/>
      <x:c r="N4" s="48"/>
      <x:c r="O4" s="48" t="str">
        <x:f>IF(F4="","",(F4*G4+IF(K4="",0,K4*G4))*(Parametres!$B$5+Parametres!$B$6))</x:f>
      </x:c>
      <x:c r="P4" s="48" t="str">
        <x:f>IF(OR(F4="",K4="",G4=""),"",(K4-F4)*G4+IF(L4="Oui",(N4-F4)*G4*M4,0))</x:f>
      </x:c>
      <x:c r="Q4" s="48" t="str">
        <x:f>IF(P4="","",P4-O4)</x:f>
      </x:c>
      <x:c r="R4" s="52" t="str">
        <x:f>IF(OR(Q4="",H4=0),"",Q4/H4)</x:f>
      </x:c>
      <x:c r="S4" s="56" t="str">
        <x:f>IF(OR(B4="",I4=""),"",I4-B4)</x:f>
      </x:c>
      <x:c r="T4" s="54"/>
      <x:c r="U4" s="54"/>
      <x:c r="V4" s="38"/>
      <x:c r="W4" s="36" t="str">
        <x:f>IF(B4="","",IF(I4="","OUVERT",IF(Q4&gt;0,"GAGNANT",IF(Q4&lt;0,"PERDANT","FLAT"))))</x:f>
      </x:c>
      <x:c r="X4" s="38"/>
    </x:row>
    <x:row r="5">
      <x:c r="A5" s="36" t="str">
        <x:f>IF(B5="","",ROW()-3)</x:f>
      </x:c>
      <x:c r="B5" s="42"/>
      <x:c r="C5" s="38"/>
      <x:c r="D5" s="38"/>
      <x:c r="E5" s="38"/>
      <x:c r="F5" s="46"/>
      <x:c r="G5" s="50"/>
      <x:c r="H5" s="48" t="str">
        <x:f>IF(OR(F5="",G5=""),"",F5*G5)</x:f>
      </x:c>
      <x:c r="I5" s="44"/>
      <x:c r="J5" s="40"/>
      <x:c r="K5" s="48"/>
      <x:c r="L5" s="40"/>
      <x:c r="M5" s="52"/>
      <x:c r="N5" s="48"/>
      <x:c r="O5" s="48" t="str">
        <x:f>IF(F5="","",(F5*G5+IF(K5="",0,K5*G5))*(Parametres!$B$5+Parametres!$B$6))</x:f>
      </x:c>
      <x:c r="P5" s="48" t="str">
        <x:f>IF(OR(F5="",K5="",G5=""),"",(K5-F5)*G5+IF(L5="Oui",(N5-F5)*G5*M5,0))</x:f>
      </x:c>
      <x:c r="Q5" s="48" t="str">
        <x:f>IF(P5="","",P5-O5)</x:f>
      </x:c>
      <x:c r="R5" s="52" t="str">
        <x:f>IF(OR(Q5="",H5=0),"",Q5/H5)</x:f>
      </x:c>
      <x:c r="S5" s="56" t="str">
        <x:f>IF(OR(B5="",I5=""),"",I5-B5)</x:f>
      </x:c>
      <x:c r="T5" s="54"/>
      <x:c r="U5" s="54"/>
      <x:c r="V5" s="38"/>
      <x:c r="W5" s="36" t="str">
        <x:f>IF(B5="","",IF(I5="","OUVERT",IF(Q5&gt;0,"GAGNANT",IF(Q5&lt;0,"PERDANT","FLAT"))))</x:f>
      </x:c>
      <x:c r="X5" s="38"/>
    </x:row>
    <x:row r="6">
      <x:c r="A6" s="36" t="str">
        <x:f>IF(B6="","",ROW()-3)</x:f>
      </x:c>
      <x:c r="B6" s="42"/>
      <x:c r="C6" s="38"/>
      <x:c r="D6" s="38"/>
      <x:c r="E6" s="38"/>
      <x:c r="F6" s="46"/>
      <x:c r="G6" s="50"/>
      <x:c r="H6" s="48" t="str">
        <x:f>IF(OR(F6="",G6=""),"",F6*G6)</x:f>
      </x:c>
      <x:c r="I6" s="44"/>
      <x:c r="J6" s="40"/>
      <x:c r="K6" s="48"/>
      <x:c r="L6" s="40"/>
      <x:c r="M6" s="52"/>
      <x:c r="N6" s="48"/>
      <x:c r="O6" s="48" t="str">
        <x:f>IF(F6="","",(F6*G6+IF(K6="",0,K6*G6))*(Parametres!$B$5+Parametres!$B$6))</x:f>
      </x:c>
      <x:c r="P6" s="48" t="str">
        <x:f>IF(OR(F6="",K6="",G6=""),"",(K6-F6)*G6+IF(L6="Oui",(N6-F6)*G6*M6,0))</x:f>
      </x:c>
      <x:c r="Q6" s="48" t="str">
        <x:f>IF(P6="","",P6-O6)</x:f>
      </x:c>
      <x:c r="R6" s="52" t="str">
        <x:f>IF(OR(Q6="",H6=0),"",Q6/H6)</x:f>
      </x:c>
      <x:c r="S6" s="56" t="str">
        <x:f>IF(OR(B6="",I6=""),"",I6-B6)</x:f>
      </x:c>
      <x:c r="T6" s="54"/>
      <x:c r="U6" s="54"/>
      <x:c r="V6" s="38"/>
      <x:c r="W6" s="36" t="str">
        <x:f>IF(B6="","",IF(I6="","OUVERT",IF(Q6&gt;0,"GAGNANT",IF(Q6&lt;0,"PERDANT","FLAT"))))</x:f>
      </x:c>
      <x:c r="X6" s="38"/>
    </x:row>
    <x:row r="7">
      <x:c r="A7" s="36" t="str">
        <x:f>IF(B7="","",ROW()-3)</x:f>
      </x:c>
      <x:c r="B7" s="42"/>
      <x:c r="C7" s="38"/>
      <x:c r="D7" s="38"/>
      <x:c r="E7" s="38"/>
      <x:c r="F7" s="46"/>
      <x:c r="G7" s="50"/>
      <x:c r="H7" s="48" t="str">
        <x:f>IF(OR(F7="",G7=""),"",F7*G7)</x:f>
      </x:c>
      <x:c r="I7" s="44"/>
      <x:c r="J7" s="40"/>
      <x:c r="K7" s="48"/>
      <x:c r="L7" s="40"/>
      <x:c r="M7" s="52"/>
      <x:c r="N7" s="48"/>
      <x:c r="O7" s="48" t="str">
        <x:f>IF(F7="","",(F7*G7+IF(K7="",0,K7*G7))*(Parametres!$B$5+Parametres!$B$6))</x:f>
      </x:c>
      <x:c r="P7" s="48" t="str">
        <x:f>IF(OR(F7="",K7="",G7=""),"",(K7-F7)*G7+IF(L7="Oui",(N7-F7)*G7*M7,0))</x:f>
      </x:c>
      <x:c r="Q7" s="48" t="str">
        <x:f>IF(P7="","",P7-O7)</x:f>
      </x:c>
      <x:c r="R7" s="52" t="str">
        <x:f>IF(OR(Q7="",H7=0),"",Q7/H7)</x:f>
      </x:c>
      <x:c r="S7" s="56" t="str">
        <x:f>IF(OR(B7="",I7=""),"",I7-B7)</x:f>
      </x:c>
      <x:c r="T7" s="54"/>
      <x:c r="U7" s="54"/>
      <x:c r="V7" s="38"/>
      <x:c r="W7" s="36" t="str">
        <x:f>IF(B7="","",IF(I7="","OUVERT",IF(Q7&gt;0,"GAGNANT",IF(Q7&lt;0,"PERDANT","FLAT"))))</x:f>
      </x:c>
      <x:c r="X7" s="38"/>
    </x:row>
    <x:row r="8">
      <x:c r="A8" s="36" t="str">
        <x:f>IF(B8="","",ROW()-3)</x:f>
      </x:c>
      <x:c r="B8" s="42"/>
      <x:c r="C8" s="38"/>
      <x:c r="D8" s="38"/>
      <x:c r="E8" s="38"/>
      <x:c r="F8" s="46"/>
      <x:c r="G8" s="50"/>
      <x:c r="H8" s="48" t="str">
        <x:f>IF(OR(F8="",G8=""),"",F8*G8)</x:f>
      </x:c>
      <x:c r="I8" s="44"/>
      <x:c r="J8" s="40"/>
      <x:c r="K8" s="48"/>
      <x:c r="L8" s="40"/>
      <x:c r="M8" s="52"/>
      <x:c r="N8" s="48"/>
      <x:c r="O8" s="48" t="str">
        <x:f>IF(F8="","",(F8*G8+IF(K8="",0,K8*G8))*(Parametres!$B$5+Parametres!$B$6))</x:f>
      </x:c>
      <x:c r="P8" s="48" t="str">
        <x:f>IF(OR(F8="",K8="",G8=""),"",(K8-F8)*G8+IF(L8="Oui",(N8-F8)*G8*M8,0))</x:f>
      </x:c>
      <x:c r="Q8" s="48" t="str">
        <x:f>IF(P8="","",P8-O8)</x:f>
      </x:c>
      <x:c r="R8" s="52" t="str">
        <x:f>IF(OR(Q8="",H8=0),"",Q8/H8)</x:f>
      </x:c>
      <x:c r="S8" s="56" t="str">
        <x:f>IF(OR(B8="",I8=""),"",I8-B8)</x:f>
      </x:c>
      <x:c r="T8" s="54"/>
      <x:c r="U8" s="54"/>
      <x:c r="V8" s="38"/>
      <x:c r="W8" s="36" t="str">
        <x:f>IF(B8="","",IF(I8="","OUVERT",IF(Q8&gt;0,"GAGNANT",IF(Q8&lt;0,"PERDANT","FLAT"))))</x:f>
      </x:c>
      <x:c r="X8" s="38"/>
    </x:row>
    <x:row r="9">
      <x:c r="A9" s="36" t="str">
        <x:f>IF(B9="","",ROW()-3)</x:f>
      </x:c>
      <x:c r="B9" s="42"/>
      <x:c r="C9" s="38"/>
      <x:c r="D9" s="38"/>
      <x:c r="E9" s="38"/>
      <x:c r="F9" s="46"/>
      <x:c r="G9" s="50"/>
      <x:c r="H9" s="48" t="str">
        <x:f>IF(OR(F9="",G9=""),"",F9*G9)</x:f>
      </x:c>
      <x:c r="I9" s="44"/>
      <x:c r="J9" s="40"/>
      <x:c r="K9" s="48"/>
      <x:c r="L9" s="40"/>
      <x:c r="M9" s="52"/>
      <x:c r="N9" s="48"/>
      <x:c r="O9" s="48" t="str">
        <x:f>IF(F9="","",(F9*G9+IF(K9="",0,K9*G9))*(Parametres!$B$5+Parametres!$B$6))</x:f>
      </x:c>
      <x:c r="P9" s="48" t="str">
        <x:f>IF(OR(F9="",K9="",G9=""),"",(K9-F9)*G9+IF(L9="Oui",(N9-F9)*G9*M9,0))</x:f>
      </x:c>
      <x:c r="Q9" s="48" t="str">
        <x:f>IF(P9="","",P9-O9)</x:f>
      </x:c>
      <x:c r="R9" s="52" t="str">
        <x:f>IF(OR(Q9="",H9=0),"",Q9/H9)</x:f>
      </x:c>
      <x:c r="S9" s="56" t="str">
        <x:f>IF(OR(B9="",I9=""),"",I9-B9)</x:f>
      </x:c>
      <x:c r="T9" s="54"/>
      <x:c r="U9" s="54"/>
      <x:c r="V9" s="38"/>
      <x:c r="W9" s="36" t="str">
        <x:f>IF(B9="","",IF(I9="","OUVERT",IF(Q9&gt;0,"GAGNANT",IF(Q9&lt;0,"PERDANT","FLAT"))))</x:f>
      </x:c>
      <x:c r="X9" s="38"/>
    </x:row>
    <x:row r="10">
      <x:c r="A10" s="36" t="str">
        <x:f>IF(B10="","",ROW()-3)</x:f>
      </x:c>
      <x:c r="B10" s="42"/>
      <x:c r="C10" s="38"/>
      <x:c r="D10" s="38"/>
      <x:c r="E10" s="38"/>
      <x:c r="F10" s="46"/>
      <x:c r="G10" s="50"/>
      <x:c r="H10" s="48" t="str">
        <x:f>IF(OR(F10="",G10=""),"",F10*G10)</x:f>
      </x:c>
      <x:c r="I10" s="44"/>
      <x:c r="J10" s="40"/>
      <x:c r="K10" s="48"/>
      <x:c r="L10" s="40"/>
      <x:c r="M10" s="52"/>
      <x:c r="N10" s="48"/>
      <x:c r="O10" s="48" t="str">
        <x:f>IF(F10="","",(F10*G10+IF(K10="",0,K10*G10))*(Parametres!$B$5+Parametres!$B$6))</x:f>
      </x:c>
      <x:c r="P10" s="48" t="str">
        <x:f>IF(OR(F10="",K10="",G10=""),"",(K10-F10)*G10+IF(L10="Oui",(N10-F10)*G10*M10,0))</x:f>
      </x:c>
      <x:c r="Q10" s="48" t="str">
        <x:f>IF(P10="","",P10-O10)</x:f>
      </x:c>
      <x:c r="R10" s="52" t="str">
        <x:f>IF(OR(Q10="",H10=0),"",Q10/H10)</x:f>
      </x:c>
      <x:c r="S10" s="56" t="str">
        <x:f>IF(OR(B10="",I10=""),"",I10-B10)</x:f>
      </x:c>
      <x:c r="T10" s="54"/>
      <x:c r="U10" s="54"/>
      <x:c r="V10" s="38"/>
      <x:c r="W10" s="36" t="str">
        <x:f>IF(B10="","",IF(I10="","OUVERT",IF(Q10&gt;0,"GAGNANT",IF(Q10&lt;0,"PERDANT","FLAT"))))</x:f>
      </x:c>
      <x:c r="X10" s="38"/>
    </x:row>
    <x:row r="11">
      <x:c r="A11" s="36" t="str">
        <x:f>IF(B11="","",ROW()-3)</x:f>
      </x:c>
      <x:c r="B11" s="42"/>
      <x:c r="C11" s="38"/>
      <x:c r="D11" s="38"/>
      <x:c r="E11" s="38"/>
      <x:c r="F11" s="46"/>
      <x:c r="G11" s="50"/>
      <x:c r="H11" s="48" t="str">
        <x:f>IF(OR(F11="",G11=""),"",F11*G11)</x:f>
      </x:c>
      <x:c r="I11" s="44"/>
      <x:c r="J11" s="40"/>
      <x:c r="K11" s="48"/>
      <x:c r="L11" s="40"/>
      <x:c r="M11" s="52"/>
      <x:c r="N11" s="48"/>
      <x:c r="O11" s="48" t="str">
        <x:f>IF(F11="","",(F11*G11+IF(K11="",0,K11*G11))*(Parametres!$B$5+Parametres!$B$6))</x:f>
      </x:c>
      <x:c r="P11" s="48" t="str">
        <x:f>IF(OR(F11="",K11="",G11=""),"",(K11-F11)*G11+IF(L11="Oui",(N11-F11)*G11*M11,0))</x:f>
      </x:c>
      <x:c r="Q11" s="48" t="str">
        <x:f>IF(P11="","",P11-O11)</x:f>
      </x:c>
      <x:c r="R11" s="52" t="str">
        <x:f>IF(OR(Q11="",H11=0),"",Q11/H11)</x:f>
      </x:c>
      <x:c r="S11" s="56" t="str">
        <x:f>IF(OR(B11="",I11=""),"",I11-B11)</x:f>
      </x:c>
      <x:c r="T11" s="54"/>
      <x:c r="U11" s="54"/>
      <x:c r="V11" s="38"/>
      <x:c r="W11" s="36" t="str">
        <x:f>IF(B11="","",IF(I11="","OUVERT",IF(Q11&gt;0,"GAGNANT",IF(Q11&lt;0,"PERDANT","FLAT"))))</x:f>
      </x:c>
      <x:c r="X11" s="38"/>
    </x:row>
    <x:row r="12">
      <x:c r="A12" s="36" t="str">
        <x:f>IF(B12="","",ROW()-3)</x:f>
      </x:c>
      <x:c r="B12" s="42"/>
      <x:c r="C12" s="38"/>
      <x:c r="D12" s="38"/>
      <x:c r="E12" s="38"/>
      <x:c r="F12" s="46"/>
      <x:c r="G12" s="50"/>
      <x:c r="H12" s="48" t="str">
        <x:f>IF(OR(F12="",G12=""),"",F12*G12)</x:f>
      </x:c>
      <x:c r="I12" s="44"/>
      <x:c r="J12" s="40"/>
      <x:c r="K12" s="48"/>
      <x:c r="L12" s="40"/>
      <x:c r="M12" s="52"/>
      <x:c r="N12" s="48"/>
      <x:c r="O12" s="48" t="str">
        <x:f>IF(F12="","",(F12*G12+IF(K12="",0,K12*G12))*(Parametres!$B$5+Parametres!$B$6))</x:f>
      </x:c>
      <x:c r="P12" s="48" t="str">
        <x:f>IF(OR(F12="",K12="",G12=""),"",(K12-F12)*G12+IF(L12="Oui",(N12-F12)*G12*M12,0))</x:f>
      </x:c>
      <x:c r="Q12" s="48" t="str">
        <x:f>IF(P12="","",P12-O12)</x:f>
      </x:c>
      <x:c r="R12" s="52" t="str">
        <x:f>IF(OR(Q12="",H12=0),"",Q12/H12)</x:f>
      </x:c>
      <x:c r="S12" s="56" t="str">
        <x:f>IF(OR(B12="",I12=""),"",I12-B12)</x:f>
      </x:c>
      <x:c r="T12" s="54"/>
      <x:c r="U12" s="54"/>
      <x:c r="V12" s="38"/>
      <x:c r="W12" s="36" t="str">
        <x:f>IF(B12="","",IF(I12="","OUVERT",IF(Q12&gt;0,"GAGNANT",IF(Q12&lt;0,"PERDANT","FLAT"))))</x:f>
      </x:c>
      <x:c r="X12" s="38"/>
    </x:row>
    <x:row r="13">
      <x:c r="A13" s="36" t="str">
        <x:f>IF(B13="","",ROW()-3)</x:f>
      </x:c>
      <x:c r="B13" s="42"/>
      <x:c r="C13" s="38"/>
      <x:c r="D13" s="38"/>
      <x:c r="E13" s="38"/>
      <x:c r="F13" s="46"/>
      <x:c r="G13" s="50"/>
      <x:c r="H13" s="48" t="str">
        <x:f>IF(OR(F13="",G13=""),"",F13*G13)</x:f>
      </x:c>
      <x:c r="I13" s="44"/>
      <x:c r="J13" s="40"/>
      <x:c r="K13" s="48"/>
      <x:c r="L13" s="40"/>
      <x:c r="M13" s="52"/>
      <x:c r="N13" s="48"/>
      <x:c r="O13" s="48" t="str">
        <x:f>IF(F13="","",(F13*G13+IF(K13="",0,K13*G13))*(Parametres!$B$5+Parametres!$B$6))</x:f>
      </x:c>
      <x:c r="P13" s="48" t="str">
        <x:f>IF(OR(F13="",K13="",G13=""),"",(K13-F13)*G13+IF(L13="Oui",(N13-F13)*G13*M13,0))</x:f>
      </x:c>
      <x:c r="Q13" s="48" t="str">
        <x:f>IF(P13="","",P13-O13)</x:f>
      </x:c>
      <x:c r="R13" s="52" t="str">
        <x:f>IF(OR(Q13="",H13=0),"",Q13/H13)</x:f>
      </x:c>
      <x:c r="S13" s="56" t="str">
        <x:f>IF(OR(B13="",I13=""),"",I13-B13)</x:f>
      </x:c>
      <x:c r="T13" s="54"/>
      <x:c r="U13" s="54"/>
      <x:c r="V13" s="38"/>
      <x:c r="W13" s="36" t="str">
        <x:f>IF(B13="","",IF(I13="","OUVERT",IF(Q13&gt;0,"GAGNANT",IF(Q13&lt;0,"PERDANT","FLAT"))))</x:f>
      </x:c>
      <x:c r="X13" s="38"/>
    </x:row>
    <x:row r="14">
      <x:c r="A14" s="36" t="str">
        <x:f>IF(B14="","",ROW()-3)</x:f>
      </x:c>
      <x:c r="B14" s="42"/>
      <x:c r="C14" s="38"/>
      <x:c r="D14" s="38"/>
      <x:c r="E14" s="38"/>
      <x:c r="F14" s="46"/>
      <x:c r="G14" s="50"/>
      <x:c r="H14" s="48" t="str">
        <x:f>IF(OR(F14="",G14=""),"",F14*G14)</x:f>
      </x:c>
      <x:c r="I14" s="44"/>
      <x:c r="J14" s="40"/>
      <x:c r="K14" s="48"/>
      <x:c r="L14" s="40"/>
      <x:c r="M14" s="52"/>
      <x:c r="N14" s="48"/>
      <x:c r="O14" s="48" t="str">
        <x:f>IF(F14="","",(F14*G14+IF(K14="",0,K14*G14))*(Parametres!$B$5+Parametres!$B$6))</x:f>
      </x:c>
      <x:c r="P14" s="48" t="str">
        <x:f>IF(OR(F14="",K14="",G14=""),"",(K14-F14)*G14+IF(L14="Oui",(N14-F14)*G14*M14,0))</x:f>
      </x:c>
      <x:c r="Q14" s="48" t="str">
        <x:f>IF(P14="","",P14-O14)</x:f>
      </x:c>
      <x:c r="R14" s="52" t="str">
        <x:f>IF(OR(Q14="",H14=0),"",Q14/H14)</x:f>
      </x:c>
      <x:c r="S14" s="56" t="str">
        <x:f>IF(OR(B14="",I14=""),"",I14-B14)</x:f>
      </x:c>
      <x:c r="T14" s="54"/>
      <x:c r="U14" s="54"/>
      <x:c r="V14" s="38"/>
      <x:c r="W14" s="36" t="str">
        <x:f>IF(B14="","",IF(I14="","OUVERT",IF(Q14&gt;0,"GAGNANT",IF(Q14&lt;0,"PERDANT","FLAT"))))</x:f>
      </x:c>
      <x:c r="X14" s="38"/>
    </x:row>
    <x:row r="15">
      <x:c r="A15" s="36" t="str">
        <x:f>IF(B15="","",ROW()-3)</x:f>
      </x:c>
      <x:c r="B15" s="42"/>
      <x:c r="C15" s="38"/>
      <x:c r="D15" s="38"/>
      <x:c r="E15" s="38"/>
      <x:c r="F15" s="46"/>
      <x:c r="G15" s="50"/>
      <x:c r="H15" s="48" t="str">
        <x:f>IF(OR(F15="",G15=""),"",F15*G15)</x:f>
      </x:c>
      <x:c r="I15" s="44"/>
      <x:c r="J15" s="40"/>
      <x:c r="K15" s="48"/>
      <x:c r="L15" s="40"/>
      <x:c r="M15" s="52"/>
      <x:c r="N15" s="48"/>
      <x:c r="O15" s="48" t="str">
        <x:f>IF(F15="","",(F15*G15+IF(K15="",0,K15*G15))*(Parametres!$B$5+Parametres!$B$6))</x:f>
      </x:c>
      <x:c r="P15" s="48" t="str">
        <x:f>IF(OR(F15="",K15="",G15=""),"",(K15-F15)*G15+IF(L15="Oui",(N15-F15)*G15*M15,0))</x:f>
      </x:c>
      <x:c r="Q15" s="48" t="str">
        <x:f>IF(P15="","",P15-O15)</x:f>
      </x:c>
      <x:c r="R15" s="52" t="str">
        <x:f>IF(OR(Q15="",H15=0),"",Q15/H15)</x:f>
      </x:c>
      <x:c r="S15" s="56" t="str">
        <x:f>IF(OR(B15="",I15=""),"",I15-B15)</x:f>
      </x:c>
      <x:c r="T15" s="54"/>
      <x:c r="U15" s="54"/>
      <x:c r="V15" s="38"/>
      <x:c r="W15" s="36" t="str">
        <x:f>IF(B15="","",IF(I15="","OUVERT",IF(Q15&gt;0,"GAGNANT",IF(Q15&lt;0,"PERDANT","FLAT"))))</x:f>
      </x:c>
      <x:c r="X15" s="38"/>
    </x:row>
    <x:row r="16">
      <x:c r="A16" s="36" t="str">
        <x:f>IF(B16="","",ROW()-3)</x:f>
      </x:c>
      <x:c r="B16" s="42"/>
      <x:c r="C16" s="38"/>
      <x:c r="D16" s="38"/>
      <x:c r="E16" s="38"/>
      <x:c r="F16" s="46"/>
      <x:c r="G16" s="50"/>
      <x:c r="H16" s="48" t="str">
        <x:f>IF(OR(F16="",G16=""),"",F16*G16)</x:f>
      </x:c>
      <x:c r="I16" s="44"/>
      <x:c r="J16" s="40"/>
      <x:c r="K16" s="48"/>
      <x:c r="L16" s="40"/>
      <x:c r="M16" s="52"/>
      <x:c r="N16" s="48"/>
      <x:c r="O16" s="48" t="str">
        <x:f>IF(F16="","",(F16*G16+IF(K16="",0,K16*G16))*(Parametres!$B$5+Parametres!$B$6))</x:f>
      </x:c>
      <x:c r="P16" s="48" t="str">
        <x:f>IF(OR(F16="",K16="",G16=""),"",(K16-F16)*G16+IF(L16="Oui",(N16-F16)*G16*M16,0))</x:f>
      </x:c>
      <x:c r="Q16" s="48" t="str">
        <x:f>IF(P16="","",P16-O16)</x:f>
      </x:c>
      <x:c r="R16" s="52" t="str">
        <x:f>IF(OR(Q16="",H16=0),"",Q16/H16)</x:f>
      </x:c>
      <x:c r="S16" s="56" t="str">
        <x:f>IF(OR(B16="",I16=""),"",I16-B16)</x:f>
      </x:c>
      <x:c r="T16" s="54"/>
      <x:c r="U16" s="54"/>
      <x:c r="V16" s="38"/>
      <x:c r="W16" s="36" t="str">
        <x:f>IF(B16="","",IF(I16="","OUVERT",IF(Q16&gt;0,"GAGNANT",IF(Q16&lt;0,"PERDANT","FLAT"))))</x:f>
      </x:c>
      <x:c r="X16" s="38"/>
    </x:row>
    <x:row r="17">
      <x:c r="A17" s="36" t="str">
        <x:f>IF(B17="","",ROW()-3)</x:f>
      </x:c>
      <x:c r="B17" s="42"/>
      <x:c r="C17" s="38"/>
      <x:c r="D17" s="38"/>
      <x:c r="E17" s="38"/>
      <x:c r="F17" s="46"/>
      <x:c r="G17" s="50"/>
      <x:c r="H17" s="48" t="str">
        <x:f>IF(OR(F17="",G17=""),"",F17*G17)</x:f>
      </x:c>
      <x:c r="I17" s="44"/>
      <x:c r="J17" s="40"/>
      <x:c r="K17" s="48"/>
      <x:c r="L17" s="40"/>
      <x:c r="M17" s="52"/>
      <x:c r="N17" s="48"/>
      <x:c r="O17" s="48" t="str">
        <x:f>IF(F17="","",(F17*G17+IF(K17="",0,K17*G17))*(Parametres!$B$5+Parametres!$B$6))</x:f>
      </x:c>
      <x:c r="P17" s="48" t="str">
        <x:f>IF(OR(F17="",K17="",G17=""),"",(K17-F17)*G17+IF(L17="Oui",(N17-F17)*G17*M17,0))</x:f>
      </x:c>
      <x:c r="Q17" s="48" t="str">
        <x:f>IF(P17="","",P17-O17)</x:f>
      </x:c>
      <x:c r="R17" s="52" t="str">
        <x:f>IF(OR(Q17="",H17=0),"",Q17/H17)</x:f>
      </x:c>
      <x:c r="S17" s="56" t="str">
        <x:f>IF(OR(B17="",I17=""),"",I17-B17)</x:f>
      </x:c>
      <x:c r="T17" s="54"/>
      <x:c r="U17" s="54"/>
      <x:c r="V17" s="38"/>
      <x:c r="W17" s="36" t="str">
        <x:f>IF(B17="","",IF(I17="","OUVERT",IF(Q17&gt;0,"GAGNANT",IF(Q17&lt;0,"PERDANT","FLAT"))))</x:f>
      </x:c>
      <x:c r="X17" s="38"/>
    </x:row>
    <x:row r="18">
      <x:c r="A18" s="36" t="str">
        <x:f>IF(B18="","",ROW()-3)</x:f>
      </x:c>
      <x:c r="B18" s="42"/>
      <x:c r="C18" s="38"/>
      <x:c r="D18" s="38"/>
      <x:c r="E18" s="38"/>
      <x:c r="F18" s="46"/>
      <x:c r="G18" s="50"/>
      <x:c r="H18" s="48" t="str">
        <x:f>IF(OR(F18="",G18=""),"",F18*G18)</x:f>
      </x:c>
      <x:c r="I18" s="44"/>
      <x:c r="J18" s="40"/>
      <x:c r="K18" s="48"/>
      <x:c r="L18" s="40"/>
      <x:c r="M18" s="52"/>
      <x:c r="N18" s="48"/>
      <x:c r="O18" s="48" t="str">
        <x:f>IF(F18="","",(F18*G18+IF(K18="",0,K18*G18))*(Parametres!$B$5+Parametres!$B$6))</x:f>
      </x:c>
      <x:c r="P18" s="48" t="str">
        <x:f>IF(OR(F18="",K18="",G18=""),"",(K18-F18)*G18+IF(L18="Oui",(N18-F18)*G18*M18,0))</x:f>
      </x:c>
      <x:c r="Q18" s="48" t="str">
        <x:f>IF(P18="","",P18-O18)</x:f>
      </x:c>
      <x:c r="R18" s="52" t="str">
        <x:f>IF(OR(Q18="",H18=0),"",Q18/H18)</x:f>
      </x:c>
      <x:c r="S18" s="56" t="str">
        <x:f>IF(OR(B18="",I18=""),"",I18-B18)</x:f>
      </x:c>
      <x:c r="T18" s="54"/>
      <x:c r="U18" s="54"/>
      <x:c r="V18" s="38"/>
      <x:c r="W18" s="36" t="str">
        <x:f>IF(B18="","",IF(I18="","OUVERT",IF(Q18&gt;0,"GAGNANT",IF(Q18&lt;0,"PERDANT","FLAT"))))</x:f>
      </x:c>
      <x:c r="X18" s="38"/>
    </x:row>
    <x:row r="19">
      <x:c r="A19" s="36" t="str">
        <x:f>IF(B19="","",ROW()-3)</x:f>
      </x:c>
      <x:c r="B19" s="42"/>
      <x:c r="C19" s="38"/>
      <x:c r="D19" s="38"/>
      <x:c r="E19" s="38"/>
      <x:c r="F19" s="46"/>
      <x:c r="G19" s="50"/>
      <x:c r="H19" s="48" t="str">
        <x:f>IF(OR(F19="",G19=""),"",F19*G19)</x:f>
      </x:c>
      <x:c r="I19" s="44"/>
      <x:c r="J19" s="40"/>
      <x:c r="K19" s="48"/>
      <x:c r="L19" s="40"/>
      <x:c r="M19" s="52"/>
      <x:c r="N19" s="48"/>
      <x:c r="O19" s="48" t="str">
        <x:f>IF(F19="","",(F19*G19+IF(K19="",0,K19*G19))*(Parametres!$B$5+Parametres!$B$6))</x:f>
      </x:c>
      <x:c r="P19" s="48" t="str">
        <x:f>IF(OR(F19="",K19="",G19=""),"",(K19-F19)*G19+IF(L19="Oui",(N19-F19)*G19*M19,0))</x:f>
      </x:c>
      <x:c r="Q19" s="48" t="str">
        <x:f>IF(P19="","",P19-O19)</x:f>
      </x:c>
      <x:c r="R19" s="52" t="str">
        <x:f>IF(OR(Q19="",H19=0),"",Q19/H19)</x:f>
      </x:c>
      <x:c r="S19" s="56" t="str">
        <x:f>IF(OR(B19="",I19=""),"",I19-B19)</x:f>
      </x:c>
      <x:c r="T19" s="54"/>
      <x:c r="U19" s="54"/>
      <x:c r="V19" s="38"/>
      <x:c r="W19" s="36" t="str">
        <x:f>IF(B19="","",IF(I19="","OUVERT",IF(Q19&gt;0,"GAGNANT",IF(Q19&lt;0,"PERDANT","FLAT"))))</x:f>
      </x:c>
      <x:c r="X19" s="38"/>
    </x:row>
    <x:row r="20">
      <x:c r="A20" s="36" t="str">
        <x:f>IF(B20="","",ROW()-3)</x:f>
      </x:c>
      <x:c r="B20" s="42"/>
      <x:c r="C20" s="38"/>
      <x:c r="D20" s="38"/>
      <x:c r="E20" s="38"/>
      <x:c r="F20" s="46"/>
      <x:c r="G20" s="50"/>
      <x:c r="H20" s="48" t="str">
        <x:f>IF(OR(F20="",G20=""),"",F20*G20)</x:f>
      </x:c>
      <x:c r="I20" s="44"/>
      <x:c r="J20" s="40"/>
      <x:c r="K20" s="48"/>
      <x:c r="L20" s="40"/>
      <x:c r="M20" s="52"/>
      <x:c r="N20" s="48"/>
      <x:c r="O20" s="48" t="str">
        <x:f>IF(F20="","",(F20*G20+IF(K20="",0,K20*G20))*(Parametres!$B$5+Parametres!$B$6))</x:f>
      </x:c>
      <x:c r="P20" s="48" t="str">
        <x:f>IF(OR(F20="",K20="",G20=""),"",(K20-F20)*G20+IF(L20="Oui",(N20-F20)*G20*M20,0))</x:f>
      </x:c>
      <x:c r="Q20" s="48" t="str">
        <x:f>IF(P20="","",P20-O20)</x:f>
      </x:c>
      <x:c r="R20" s="52" t="str">
        <x:f>IF(OR(Q20="",H20=0),"",Q20/H20)</x:f>
      </x:c>
      <x:c r="S20" s="56" t="str">
        <x:f>IF(OR(B20="",I20=""),"",I20-B20)</x:f>
      </x:c>
      <x:c r="T20" s="54"/>
      <x:c r="U20" s="54"/>
      <x:c r="V20" s="38"/>
      <x:c r="W20" s="36" t="str">
        <x:f>IF(B20="","",IF(I20="","OUVERT",IF(Q20&gt;0,"GAGNANT",IF(Q20&lt;0,"PERDANT","FLAT"))))</x:f>
      </x:c>
      <x:c r="X20" s="38"/>
    </x:row>
    <x:row r="21">
      <x:c r="A21" s="36" t="str">
        <x:f>IF(B21="","",ROW()-3)</x:f>
      </x:c>
      <x:c r="B21" s="42"/>
      <x:c r="C21" s="38"/>
      <x:c r="D21" s="38"/>
      <x:c r="E21" s="38"/>
      <x:c r="F21" s="46"/>
      <x:c r="G21" s="50"/>
      <x:c r="H21" s="48" t="str">
        <x:f>IF(OR(F21="",G21=""),"",F21*G21)</x:f>
      </x:c>
      <x:c r="I21" s="44"/>
      <x:c r="J21" s="40"/>
      <x:c r="K21" s="48"/>
      <x:c r="L21" s="40"/>
      <x:c r="M21" s="52"/>
      <x:c r="N21" s="48"/>
      <x:c r="O21" s="48" t="str">
        <x:f>IF(F21="","",(F21*G21+IF(K21="",0,K21*G21))*(Parametres!$B$5+Parametres!$B$6))</x:f>
      </x:c>
      <x:c r="P21" s="48" t="str">
        <x:f>IF(OR(F21="",K21="",G21=""),"",(K21-F21)*G21+IF(L21="Oui",(N21-F21)*G21*M21,0))</x:f>
      </x:c>
      <x:c r="Q21" s="48" t="str">
        <x:f>IF(P21="","",P21-O21)</x:f>
      </x:c>
      <x:c r="R21" s="52" t="str">
        <x:f>IF(OR(Q21="",H21=0),"",Q21/H21)</x:f>
      </x:c>
      <x:c r="S21" s="56" t="str">
        <x:f>IF(OR(B21="",I21=""),"",I21-B21)</x:f>
      </x:c>
      <x:c r="T21" s="54"/>
      <x:c r="U21" s="54"/>
      <x:c r="V21" s="38"/>
      <x:c r="W21" s="36" t="str">
        <x:f>IF(B21="","",IF(I21="","OUVERT",IF(Q21&gt;0,"GAGNANT",IF(Q21&lt;0,"PERDANT","FLAT"))))</x:f>
      </x:c>
      <x:c r="X21" s="38"/>
    </x:row>
    <x:row r="22">
      <x:c r="A22" s="36" t="str">
        <x:f>IF(B22="","",ROW()-3)</x:f>
      </x:c>
      <x:c r="B22" s="42"/>
      <x:c r="C22" s="38"/>
      <x:c r="D22" s="38"/>
      <x:c r="E22" s="38"/>
      <x:c r="F22" s="46"/>
      <x:c r="G22" s="50"/>
      <x:c r="H22" s="48" t="str">
        <x:f>IF(OR(F22="",G22=""),"",F22*G22)</x:f>
      </x:c>
      <x:c r="I22" s="44"/>
      <x:c r="J22" s="40"/>
      <x:c r="K22" s="48"/>
      <x:c r="L22" s="40"/>
      <x:c r="M22" s="52"/>
      <x:c r="N22" s="48"/>
      <x:c r="O22" s="48" t="str">
        <x:f>IF(F22="","",(F22*G22+IF(K22="",0,K22*G22))*(Parametres!$B$5+Parametres!$B$6))</x:f>
      </x:c>
      <x:c r="P22" s="48" t="str">
        <x:f>IF(OR(F22="",K22="",G22=""),"",(K22-F22)*G22+IF(L22="Oui",(N22-F22)*G22*M22,0))</x:f>
      </x:c>
      <x:c r="Q22" s="48" t="str">
        <x:f>IF(P22="","",P22-O22)</x:f>
      </x:c>
      <x:c r="R22" s="52" t="str">
        <x:f>IF(OR(Q22="",H22=0),"",Q22/H22)</x:f>
      </x:c>
      <x:c r="S22" s="56" t="str">
        <x:f>IF(OR(B22="",I22=""),"",I22-B22)</x:f>
      </x:c>
      <x:c r="T22" s="54"/>
      <x:c r="U22" s="54"/>
      <x:c r="V22" s="38"/>
      <x:c r="W22" s="36" t="str">
        <x:f>IF(B22="","",IF(I22="","OUVERT",IF(Q22&gt;0,"GAGNANT",IF(Q22&lt;0,"PERDANT","FLAT"))))</x:f>
      </x:c>
      <x:c r="X22" s="38"/>
    </x:row>
    <x:row r="23">
      <x:c r="A23" s="36" t="str">
        <x:f>IF(B23="","",ROW()-3)</x:f>
      </x:c>
      <x:c r="B23" s="42"/>
      <x:c r="C23" s="38"/>
      <x:c r="D23" s="38"/>
      <x:c r="E23" s="38"/>
      <x:c r="F23" s="46"/>
      <x:c r="G23" s="50"/>
      <x:c r="H23" s="48" t="str">
        <x:f>IF(OR(F23="",G23=""),"",F23*G23)</x:f>
      </x:c>
      <x:c r="I23" s="44"/>
      <x:c r="J23" s="40"/>
      <x:c r="K23" s="48"/>
      <x:c r="L23" s="40"/>
      <x:c r="M23" s="52"/>
      <x:c r="N23" s="48"/>
      <x:c r="O23" s="48" t="str">
        <x:f>IF(F23="","",(F23*G23+IF(K23="",0,K23*G23))*(Parametres!$B$5+Parametres!$B$6))</x:f>
      </x:c>
      <x:c r="P23" s="48" t="str">
        <x:f>IF(OR(F23="",K23="",G23=""),"",(K23-F23)*G23+IF(L23="Oui",(N23-F23)*G23*M23,0))</x:f>
      </x:c>
      <x:c r="Q23" s="48" t="str">
        <x:f>IF(P23="","",P23-O23)</x:f>
      </x:c>
      <x:c r="R23" s="52" t="str">
        <x:f>IF(OR(Q23="",H23=0),"",Q23/H23)</x:f>
      </x:c>
      <x:c r="S23" s="56" t="str">
        <x:f>IF(OR(B23="",I23=""),"",I23-B23)</x:f>
      </x:c>
      <x:c r="T23" s="54"/>
      <x:c r="U23" s="54"/>
      <x:c r="V23" s="38"/>
      <x:c r="W23" s="36" t="str">
        <x:f>IF(B23="","",IF(I23="","OUVERT",IF(Q23&gt;0,"GAGNANT",IF(Q23&lt;0,"PERDANT","FLAT"))))</x:f>
      </x:c>
      <x:c r="X23" s="38"/>
    </x:row>
    <x:row r="24">
      <x:c r="A24" s="36" t="str">
        <x:f>IF(B24="","",ROW()-3)</x:f>
      </x:c>
      <x:c r="B24" s="42"/>
      <x:c r="C24" s="38"/>
      <x:c r="D24" s="38"/>
      <x:c r="E24" s="38"/>
      <x:c r="F24" s="46"/>
      <x:c r="G24" s="50"/>
      <x:c r="H24" s="48" t="str">
        <x:f>IF(OR(F24="",G24=""),"",F24*G24)</x:f>
      </x:c>
      <x:c r="I24" s="44"/>
      <x:c r="J24" s="40"/>
      <x:c r="K24" s="48"/>
      <x:c r="L24" s="40"/>
      <x:c r="M24" s="52"/>
      <x:c r="N24" s="48"/>
      <x:c r="O24" s="48" t="str">
        <x:f>IF(F24="","",(F24*G24+IF(K24="",0,K24*G24))*(Parametres!$B$5+Parametres!$B$6))</x:f>
      </x:c>
      <x:c r="P24" s="48" t="str">
        <x:f>IF(OR(F24="",K24="",G24=""),"",(K24-F24)*G24+IF(L24="Oui",(N24-F24)*G24*M24,0))</x:f>
      </x:c>
      <x:c r="Q24" s="48" t="str">
        <x:f>IF(P24="","",P24-O24)</x:f>
      </x:c>
      <x:c r="R24" s="52" t="str">
        <x:f>IF(OR(Q24="",H24=0),"",Q24/H24)</x:f>
      </x:c>
      <x:c r="S24" s="56" t="str">
        <x:f>IF(OR(B24="",I24=""),"",I24-B24)</x:f>
      </x:c>
      <x:c r="T24" s="54"/>
      <x:c r="U24" s="54"/>
      <x:c r="V24" s="38"/>
      <x:c r="W24" s="36" t="str">
        <x:f>IF(B24="","",IF(I24="","OUVERT",IF(Q24&gt;0,"GAGNANT",IF(Q24&lt;0,"PERDANT","FLAT"))))</x:f>
      </x:c>
      <x:c r="X24" s="38"/>
    </x:row>
    <x:row r="25">
      <x:c r="A25" s="36" t="str">
        <x:f>IF(B25="","",ROW()-3)</x:f>
      </x:c>
      <x:c r="B25" s="42"/>
      <x:c r="C25" s="38"/>
      <x:c r="D25" s="38"/>
      <x:c r="E25" s="38"/>
      <x:c r="F25" s="46"/>
      <x:c r="G25" s="50"/>
      <x:c r="H25" s="48" t="str">
        <x:f>IF(OR(F25="",G25=""),"",F25*G25)</x:f>
      </x:c>
      <x:c r="I25" s="44"/>
      <x:c r="J25" s="40"/>
      <x:c r="K25" s="48"/>
      <x:c r="L25" s="40"/>
      <x:c r="M25" s="52"/>
      <x:c r="N25" s="48"/>
      <x:c r="O25" s="48" t="str">
        <x:f>IF(F25="","",(F25*G25+IF(K25="",0,K25*G25))*(Parametres!$B$5+Parametres!$B$6))</x:f>
      </x:c>
      <x:c r="P25" s="48" t="str">
        <x:f>IF(OR(F25="",K25="",G25=""),"",(K25-F25)*G25+IF(L25="Oui",(N25-F25)*G25*M25,0))</x:f>
      </x:c>
      <x:c r="Q25" s="48" t="str">
        <x:f>IF(P25="","",P25-O25)</x:f>
      </x:c>
      <x:c r="R25" s="52" t="str">
        <x:f>IF(OR(Q25="",H25=0),"",Q25/H25)</x:f>
      </x:c>
      <x:c r="S25" s="56" t="str">
        <x:f>IF(OR(B25="",I25=""),"",I25-B25)</x:f>
      </x:c>
      <x:c r="T25" s="54"/>
      <x:c r="U25" s="54"/>
      <x:c r="V25" s="38"/>
      <x:c r="W25" s="36" t="str">
        <x:f>IF(B25="","",IF(I25="","OUVERT",IF(Q25&gt;0,"GAGNANT",IF(Q25&lt;0,"PERDANT","FLAT"))))</x:f>
      </x:c>
      <x:c r="X25" s="38"/>
    </x:row>
    <x:row r="26">
      <x:c r="A26" s="36" t="str">
        <x:f>IF(B26="","",ROW()-3)</x:f>
      </x:c>
      <x:c r="B26" s="42"/>
      <x:c r="C26" s="38"/>
      <x:c r="D26" s="38"/>
      <x:c r="E26" s="38"/>
      <x:c r="F26" s="46"/>
      <x:c r="G26" s="50"/>
      <x:c r="H26" s="48" t="str">
        <x:f>IF(OR(F26="",G26=""),"",F26*G26)</x:f>
      </x:c>
      <x:c r="I26" s="44"/>
      <x:c r="J26" s="40"/>
      <x:c r="K26" s="48"/>
      <x:c r="L26" s="40"/>
      <x:c r="M26" s="52"/>
      <x:c r="N26" s="48"/>
      <x:c r="O26" s="48" t="str">
        <x:f>IF(F26="","",(F26*G26+IF(K26="",0,K26*G26))*(Parametres!$B$5+Parametres!$B$6))</x:f>
      </x:c>
      <x:c r="P26" s="48" t="str">
        <x:f>IF(OR(F26="",K26="",G26=""),"",(K26-F26)*G26+IF(L26="Oui",(N26-F26)*G26*M26,0))</x:f>
      </x:c>
      <x:c r="Q26" s="48" t="str">
        <x:f>IF(P26="","",P26-O26)</x:f>
      </x:c>
      <x:c r="R26" s="52" t="str">
        <x:f>IF(OR(Q26="",H26=0),"",Q26/H26)</x:f>
      </x:c>
      <x:c r="S26" s="56" t="str">
        <x:f>IF(OR(B26="",I26=""),"",I26-B26)</x:f>
      </x:c>
      <x:c r="T26" s="54"/>
      <x:c r="U26" s="54"/>
      <x:c r="V26" s="38"/>
      <x:c r="W26" s="36" t="str">
        <x:f>IF(B26="","",IF(I26="","OUVERT",IF(Q26&gt;0,"GAGNANT",IF(Q26&lt;0,"PERDANT","FLAT"))))</x:f>
      </x:c>
      <x:c r="X26" s="38"/>
    </x:row>
    <x:row r="27">
      <x:c r="A27" s="36" t="str">
        <x:f>IF(B27="","",ROW()-3)</x:f>
      </x:c>
      <x:c r="B27" s="42"/>
      <x:c r="C27" s="38"/>
      <x:c r="D27" s="38"/>
      <x:c r="E27" s="38"/>
      <x:c r="F27" s="46"/>
      <x:c r="G27" s="50"/>
      <x:c r="H27" s="48" t="str">
        <x:f>IF(OR(F27="",G27=""),"",F27*G27)</x:f>
      </x:c>
      <x:c r="I27" s="44"/>
      <x:c r="J27" s="40"/>
      <x:c r="K27" s="48"/>
      <x:c r="L27" s="40"/>
      <x:c r="M27" s="52"/>
      <x:c r="N27" s="48"/>
      <x:c r="O27" s="48" t="str">
        <x:f>IF(F27="","",(F27*G27+IF(K27="",0,K27*G27))*(Parametres!$B$5+Parametres!$B$6))</x:f>
      </x:c>
      <x:c r="P27" s="48" t="str">
        <x:f>IF(OR(F27="",K27="",G27=""),"",(K27-F27)*G27+IF(L27="Oui",(N27-F27)*G27*M27,0))</x:f>
      </x:c>
      <x:c r="Q27" s="48" t="str">
        <x:f>IF(P27="","",P27-O27)</x:f>
      </x:c>
      <x:c r="R27" s="52" t="str">
        <x:f>IF(OR(Q27="",H27=0),"",Q27/H27)</x:f>
      </x:c>
      <x:c r="S27" s="56" t="str">
        <x:f>IF(OR(B27="",I27=""),"",I27-B27)</x:f>
      </x:c>
      <x:c r="T27" s="54"/>
      <x:c r="U27" s="54"/>
      <x:c r="V27" s="38"/>
      <x:c r="W27" s="36" t="str">
        <x:f>IF(B27="","",IF(I27="","OUVERT",IF(Q27&gt;0,"GAGNANT",IF(Q27&lt;0,"PERDANT","FLAT"))))</x:f>
      </x:c>
      <x:c r="X27" s="38"/>
    </x:row>
    <x:row r="28">
      <x:c r="A28" s="36" t="str">
        <x:f>IF(B28="","",ROW()-3)</x:f>
      </x:c>
      <x:c r="B28" s="42"/>
      <x:c r="C28" s="38"/>
      <x:c r="D28" s="38"/>
      <x:c r="E28" s="38"/>
      <x:c r="F28" s="46"/>
      <x:c r="G28" s="50"/>
      <x:c r="H28" s="48" t="str">
        <x:f>IF(OR(F28="",G28=""),"",F28*G28)</x:f>
      </x:c>
      <x:c r="I28" s="44"/>
      <x:c r="J28" s="40"/>
      <x:c r="K28" s="48"/>
      <x:c r="L28" s="40"/>
      <x:c r="M28" s="52"/>
      <x:c r="N28" s="48"/>
      <x:c r="O28" s="48" t="str">
        <x:f>IF(F28="","",(F28*G28+IF(K28="",0,K28*G28))*(Parametres!$B$5+Parametres!$B$6))</x:f>
      </x:c>
      <x:c r="P28" s="48" t="str">
        <x:f>IF(OR(F28="",K28="",G28=""),"",(K28-F28)*G28+IF(L28="Oui",(N28-F28)*G28*M28,0))</x:f>
      </x:c>
      <x:c r="Q28" s="48" t="str">
        <x:f>IF(P28="","",P28-O28)</x:f>
      </x:c>
      <x:c r="R28" s="52" t="str">
        <x:f>IF(OR(Q28="",H28=0),"",Q28/H28)</x:f>
      </x:c>
      <x:c r="S28" s="56" t="str">
        <x:f>IF(OR(B28="",I28=""),"",I28-B28)</x:f>
      </x:c>
      <x:c r="T28" s="54"/>
      <x:c r="U28" s="54"/>
      <x:c r="V28" s="38"/>
      <x:c r="W28" s="36" t="str">
        <x:f>IF(B28="","",IF(I28="","OUVERT",IF(Q28&gt;0,"GAGNANT",IF(Q28&lt;0,"PERDANT","FLAT"))))</x:f>
      </x:c>
      <x:c r="X28" s="38"/>
    </x:row>
    <x:row r="29">
      <x:c r="A29" s="36" t="str">
        <x:f>IF(B29="","",ROW()-3)</x:f>
      </x:c>
      <x:c r="B29" s="42"/>
      <x:c r="C29" s="38"/>
      <x:c r="D29" s="38"/>
      <x:c r="E29" s="38"/>
      <x:c r="F29" s="46"/>
      <x:c r="G29" s="50"/>
      <x:c r="H29" s="48" t="str">
        <x:f>IF(OR(F29="",G29=""),"",F29*G29)</x:f>
      </x:c>
      <x:c r="I29" s="44"/>
      <x:c r="J29" s="40"/>
      <x:c r="K29" s="48"/>
      <x:c r="L29" s="40"/>
      <x:c r="M29" s="52"/>
      <x:c r="N29" s="48"/>
      <x:c r="O29" s="48" t="str">
        <x:f>IF(F29="","",(F29*G29+IF(K29="",0,K29*G29))*(Parametres!$B$5+Parametres!$B$6))</x:f>
      </x:c>
      <x:c r="P29" s="48" t="str">
        <x:f>IF(OR(F29="",K29="",G29=""),"",(K29-F29)*G29+IF(L29="Oui",(N29-F29)*G29*M29,0))</x:f>
      </x:c>
      <x:c r="Q29" s="48" t="str">
        <x:f>IF(P29="","",P29-O29)</x:f>
      </x:c>
      <x:c r="R29" s="52" t="str">
        <x:f>IF(OR(Q29="",H29=0),"",Q29/H29)</x:f>
      </x:c>
      <x:c r="S29" s="56" t="str">
        <x:f>IF(OR(B29="",I29=""),"",I29-B29)</x:f>
      </x:c>
      <x:c r="T29" s="54"/>
      <x:c r="U29" s="54"/>
      <x:c r="V29" s="38"/>
      <x:c r="W29" s="36" t="str">
        <x:f>IF(B29="","",IF(I29="","OUVERT",IF(Q29&gt;0,"GAGNANT",IF(Q29&lt;0,"PERDANT","FLAT"))))</x:f>
      </x:c>
      <x:c r="X29" s="38"/>
    </x:row>
    <x:row r="30">
      <x:c r="A30" s="36" t="str">
        <x:f>IF(B30="","",ROW()-3)</x:f>
      </x:c>
      <x:c r="B30" s="42"/>
      <x:c r="C30" s="38"/>
      <x:c r="D30" s="38"/>
      <x:c r="E30" s="38"/>
      <x:c r="F30" s="46"/>
      <x:c r="G30" s="50"/>
      <x:c r="H30" s="48" t="str">
        <x:f>IF(OR(F30="",G30=""),"",F30*G30)</x:f>
      </x:c>
      <x:c r="I30" s="44"/>
      <x:c r="J30" s="40"/>
      <x:c r="K30" s="48"/>
      <x:c r="L30" s="40"/>
      <x:c r="M30" s="52"/>
      <x:c r="N30" s="48"/>
      <x:c r="O30" s="48" t="str">
        <x:f>IF(F30="","",(F30*G30+IF(K30="",0,K30*G30))*(Parametres!$B$5+Parametres!$B$6))</x:f>
      </x:c>
      <x:c r="P30" s="48" t="str">
        <x:f>IF(OR(F30="",K30="",G30=""),"",(K30-F30)*G30+IF(L30="Oui",(N30-F30)*G30*M30,0))</x:f>
      </x:c>
      <x:c r="Q30" s="48" t="str">
        <x:f>IF(P30="","",P30-O30)</x:f>
      </x:c>
      <x:c r="R30" s="52" t="str">
        <x:f>IF(OR(Q30="",H30=0),"",Q30/H30)</x:f>
      </x:c>
      <x:c r="S30" s="56" t="str">
        <x:f>IF(OR(B30="",I30=""),"",I30-B30)</x:f>
      </x:c>
      <x:c r="T30" s="54"/>
      <x:c r="U30" s="54"/>
      <x:c r="V30" s="38"/>
      <x:c r="W30" s="36" t="str">
        <x:f>IF(B30="","",IF(I30="","OUVERT",IF(Q30&gt;0,"GAGNANT",IF(Q30&lt;0,"PERDANT","FLAT"))))</x:f>
      </x:c>
      <x:c r="X30" s="38"/>
    </x:row>
    <x:row r="31">
      <x:c r="A31" s="36" t="str">
        <x:f>IF(B31="","",ROW()-3)</x:f>
      </x:c>
      <x:c r="B31" s="42"/>
      <x:c r="C31" s="38"/>
      <x:c r="D31" s="38"/>
      <x:c r="E31" s="38"/>
      <x:c r="F31" s="46"/>
      <x:c r="G31" s="50"/>
      <x:c r="H31" s="48" t="str">
        <x:f>IF(OR(F31="",G31=""),"",F31*G31)</x:f>
      </x:c>
      <x:c r="I31" s="44"/>
      <x:c r="J31" s="40"/>
      <x:c r="K31" s="48"/>
      <x:c r="L31" s="40"/>
      <x:c r="M31" s="52"/>
      <x:c r="N31" s="48"/>
      <x:c r="O31" s="48" t="str">
        <x:f>IF(F31="","",(F31*G31+IF(K31="",0,K31*G31))*(Parametres!$B$5+Parametres!$B$6))</x:f>
      </x:c>
      <x:c r="P31" s="48" t="str">
        <x:f>IF(OR(F31="",K31="",G31=""),"",(K31-F31)*G31+IF(L31="Oui",(N31-F31)*G31*M31,0))</x:f>
      </x:c>
      <x:c r="Q31" s="48" t="str">
        <x:f>IF(P31="","",P31-O31)</x:f>
      </x:c>
      <x:c r="R31" s="52" t="str">
        <x:f>IF(OR(Q31="",H31=0),"",Q31/H31)</x:f>
      </x:c>
      <x:c r="S31" s="56" t="str">
        <x:f>IF(OR(B31="",I31=""),"",I31-B31)</x:f>
      </x:c>
      <x:c r="T31" s="54"/>
      <x:c r="U31" s="54"/>
      <x:c r="V31" s="38"/>
      <x:c r="W31" s="36" t="str">
        <x:f>IF(B31="","",IF(I31="","OUVERT",IF(Q31&gt;0,"GAGNANT",IF(Q31&lt;0,"PERDANT","FLAT"))))</x:f>
      </x:c>
      <x:c r="X31" s="38"/>
    </x:row>
    <x:row r="32">
      <x:c r="A32" s="36" t="str">
        <x:f>IF(B32="","",ROW()-3)</x:f>
      </x:c>
      <x:c r="B32" s="42"/>
      <x:c r="C32" s="38"/>
      <x:c r="D32" s="38"/>
      <x:c r="E32" s="38"/>
      <x:c r="F32" s="46"/>
      <x:c r="G32" s="50"/>
      <x:c r="H32" s="48" t="str">
        <x:f>IF(OR(F32="",G32=""),"",F32*G32)</x:f>
      </x:c>
      <x:c r="I32" s="44"/>
      <x:c r="J32" s="40"/>
      <x:c r="K32" s="48"/>
      <x:c r="L32" s="40"/>
      <x:c r="M32" s="52"/>
      <x:c r="N32" s="48"/>
      <x:c r="O32" s="48" t="str">
        <x:f>IF(F32="","",(F32*G32+IF(K32="",0,K32*G32))*(Parametres!$B$5+Parametres!$B$6))</x:f>
      </x:c>
      <x:c r="P32" s="48" t="str">
        <x:f>IF(OR(F32="",K32="",G32=""),"",(K32-F32)*G32+IF(L32="Oui",(N32-F32)*G32*M32,0))</x:f>
      </x:c>
      <x:c r="Q32" s="48" t="str">
        <x:f>IF(P32="","",P32-O32)</x:f>
      </x:c>
      <x:c r="R32" s="52" t="str">
        <x:f>IF(OR(Q32="",H32=0),"",Q32/H32)</x:f>
      </x:c>
      <x:c r="S32" s="56" t="str">
        <x:f>IF(OR(B32="",I32=""),"",I32-B32)</x:f>
      </x:c>
      <x:c r="T32" s="54"/>
      <x:c r="U32" s="54"/>
      <x:c r="V32" s="38"/>
      <x:c r="W32" s="36" t="str">
        <x:f>IF(B32="","",IF(I32="","OUVERT",IF(Q32&gt;0,"GAGNANT",IF(Q32&lt;0,"PERDANT","FLAT"))))</x:f>
      </x:c>
      <x:c r="X32" s="38"/>
    </x:row>
    <x:row r="33">
      <x:c r="A33" s="36" t="str">
        <x:f>IF(B33="","",ROW()-3)</x:f>
      </x:c>
      <x:c r="B33" s="42"/>
      <x:c r="C33" s="38"/>
      <x:c r="D33" s="38"/>
      <x:c r="E33" s="38"/>
      <x:c r="F33" s="46"/>
      <x:c r="G33" s="50"/>
      <x:c r="H33" s="48" t="str">
        <x:f>IF(OR(F33="",G33=""),"",F33*G33)</x:f>
      </x:c>
      <x:c r="I33" s="44"/>
      <x:c r="J33" s="40"/>
      <x:c r="K33" s="48"/>
      <x:c r="L33" s="40"/>
      <x:c r="M33" s="52"/>
      <x:c r="N33" s="48"/>
      <x:c r="O33" s="48" t="str">
        <x:f>IF(F33="","",(F33*G33+IF(K33="",0,K33*G33))*(Parametres!$B$5+Parametres!$B$6))</x:f>
      </x:c>
      <x:c r="P33" s="48" t="str">
        <x:f>IF(OR(F33="",K33="",G33=""),"",(K33-F33)*G33+IF(L33="Oui",(N33-F33)*G33*M33,0))</x:f>
      </x:c>
      <x:c r="Q33" s="48" t="str">
        <x:f>IF(P33="","",P33-O33)</x:f>
      </x:c>
      <x:c r="R33" s="52" t="str">
        <x:f>IF(OR(Q33="",H33=0),"",Q33/H33)</x:f>
      </x:c>
      <x:c r="S33" s="56" t="str">
        <x:f>IF(OR(B33="",I33=""),"",I33-B33)</x:f>
      </x:c>
      <x:c r="T33" s="54"/>
      <x:c r="U33" s="54"/>
      <x:c r="V33" s="38"/>
      <x:c r="W33" s="36" t="str">
        <x:f>IF(B33="","",IF(I33="","OUVERT",IF(Q33&gt;0,"GAGNANT",IF(Q33&lt;0,"PERDANT","FLAT"))))</x:f>
      </x:c>
      <x:c r="X33" s="38"/>
    </x:row>
    <x:row r="34">
      <x:c r="A34" s="36" t="str">
        <x:f>IF(B34="","",ROW()-3)</x:f>
      </x:c>
      <x:c r="B34" s="42"/>
      <x:c r="C34" s="38"/>
      <x:c r="D34" s="38"/>
      <x:c r="E34" s="38"/>
      <x:c r="F34" s="46"/>
      <x:c r="G34" s="50"/>
      <x:c r="H34" s="48" t="str">
        <x:f>IF(OR(F34="",G34=""),"",F34*G34)</x:f>
      </x:c>
      <x:c r="I34" s="44"/>
      <x:c r="J34" s="40"/>
      <x:c r="K34" s="48"/>
      <x:c r="L34" s="40"/>
      <x:c r="M34" s="52"/>
      <x:c r="N34" s="48"/>
      <x:c r="O34" s="48" t="str">
        <x:f>IF(F34="","",(F34*G34+IF(K34="",0,K34*G34))*(Parametres!$B$5+Parametres!$B$6))</x:f>
      </x:c>
      <x:c r="P34" s="48" t="str">
        <x:f>IF(OR(F34="",K34="",G34=""),"",(K34-F34)*G34+IF(L34="Oui",(N34-F34)*G34*M34,0))</x:f>
      </x:c>
      <x:c r="Q34" s="48" t="str">
        <x:f>IF(P34="","",P34-O34)</x:f>
      </x:c>
      <x:c r="R34" s="52" t="str">
        <x:f>IF(OR(Q34="",H34=0),"",Q34/H34)</x:f>
      </x:c>
      <x:c r="S34" s="56" t="str">
        <x:f>IF(OR(B34="",I34=""),"",I34-B34)</x:f>
      </x:c>
      <x:c r="T34" s="54"/>
      <x:c r="U34" s="54"/>
      <x:c r="V34" s="38"/>
      <x:c r="W34" s="36" t="str">
        <x:f>IF(B34="","",IF(I34="","OUVERT",IF(Q34&gt;0,"GAGNANT",IF(Q34&lt;0,"PERDANT","FLAT"))))</x:f>
      </x:c>
      <x:c r="X34" s="38"/>
    </x:row>
    <x:row r="35">
      <x:c r="A35" s="36" t="str">
        <x:f>IF(B35="","",ROW()-3)</x:f>
      </x:c>
      <x:c r="B35" s="42"/>
      <x:c r="C35" s="38"/>
      <x:c r="D35" s="38"/>
      <x:c r="E35" s="38"/>
      <x:c r="F35" s="46"/>
      <x:c r="G35" s="50"/>
      <x:c r="H35" s="48" t="str">
        <x:f>IF(OR(F35="",G35=""),"",F35*G35)</x:f>
      </x:c>
      <x:c r="I35" s="44"/>
      <x:c r="J35" s="40"/>
      <x:c r="K35" s="48"/>
      <x:c r="L35" s="40"/>
      <x:c r="M35" s="52"/>
      <x:c r="N35" s="48"/>
      <x:c r="O35" s="48" t="str">
        <x:f>IF(F35="","",(F35*G35+IF(K35="",0,K35*G35))*(Parametres!$B$5+Parametres!$B$6))</x:f>
      </x:c>
      <x:c r="P35" s="48" t="str">
        <x:f>IF(OR(F35="",K35="",G35=""),"",(K35-F35)*G35+IF(L35="Oui",(N35-F35)*G35*M35,0))</x:f>
      </x:c>
      <x:c r="Q35" s="48" t="str">
        <x:f>IF(P35="","",P35-O35)</x:f>
      </x:c>
      <x:c r="R35" s="52" t="str">
        <x:f>IF(OR(Q35="",H35=0),"",Q35/H35)</x:f>
      </x:c>
      <x:c r="S35" s="56" t="str">
        <x:f>IF(OR(B35="",I35=""),"",I35-B35)</x:f>
      </x:c>
      <x:c r="T35" s="54"/>
      <x:c r="U35" s="54"/>
      <x:c r="V35" s="38"/>
      <x:c r="W35" s="36" t="str">
        <x:f>IF(B35="","",IF(I35="","OUVERT",IF(Q35&gt;0,"GAGNANT",IF(Q35&lt;0,"PERDANT","FLAT"))))</x:f>
      </x:c>
      <x:c r="X35" s="38"/>
    </x:row>
    <x:row r="36">
      <x:c r="A36" s="36" t="str">
        <x:f>IF(B36="","",ROW()-3)</x:f>
      </x:c>
      <x:c r="B36" s="42"/>
      <x:c r="C36" s="38"/>
      <x:c r="D36" s="38"/>
      <x:c r="E36" s="38"/>
      <x:c r="F36" s="46"/>
      <x:c r="G36" s="50"/>
      <x:c r="H36" s="48" t="str">
        <x:f>IF(OR(F36="",G36=""),"",F36*G36)</x:f>
      </x:c>
      <x:c r="I36" s="44"/>
      <x:c r="J36" s="40"/>
      <x:c r="K36" s="48"/>
      <x:c r="L36" s="40"/>
      <x:c r="M36" s="52"/>
      <x:c r="N36" s="48"/>
      <x:c r="O36" s="48" t="str">
        <x:f>IF(F36="","",(F36*G36+IF(K36="",0,K36*G36))*(Parametres!$B$5+Parametres!$B$6))</x:f>
      </x:c>
      <x:c r="P36" s="48" t="str">
        <x:f>IF(OR(F36="",K36="",G36=""),"",(K36-F36)*G36+IF(L36="Oui",(N36-F36)*G36*M36,0))</x:f>
      </x:c>
      <x:c r="Q36" s="48" t="str">
        <x:f>IF(P36="","",P36-O36)</x:f>
      </x:c>
      <x:c r="R36" s="52" t="str">
        <x:f>IF(OR(Q36="",H36=0),"",Q36/H36)</x:f>
      </x:c>
      <x:c r="S36" s="56" t="str">
        <x:f>IF(OR(B36="",I36=""),"",I36-B36)</x:f>
      </x:c>
      <x:c r="T36" s="54"/>
      <x:c r="U36" s="54"/>
      <x:c r="V36" s="38"/>
      <x:c r="W36" s="36" t="str">
        <x:f>IF(B36="","",IF(I36="","OUVERT",IF(Q36&gt;0,"GAGNANT",IF(Q36&lt;0,"PERDANT","FLAT"))))</x:f>
      </x:c>
      <x:c r="X36" s="38"/>
    </x:row>
    <x:row r="37">
      <x:c r="A37" s="36" t="str">
        <x:f>IF(B37="","",ROW()-3)</x:f>
      </x:c>
      <x:c r="B37" s="42"/>
      <x:c r="C37" s="38"/>
      <x:c r="D37" s="38"/>
      <x:c r="E37" s="38"/>
      <x:c r="F37" s="46"/>
      <x:c r="G37" s="50"/>
      <x:c r="H37" s="48" t="str">
        <x:f>IF(OR(F37="",G37=""),"",F37*G37)</x:f>
      </x:c>
      <x:c r="I37" s="44"/>
      <x:c r="J37" s="40"/>
      <x:c r="K37" s="48"/>
      <x:c r="L37" s="40"/>
      <x:c r="M37" s="52"/>
      <x:c r="N37" s="48"/>
      <x:c r="O37" s="48" t="str">
        <x:f>IF(F37="","",(F37*G37+IF(K37="",0,K37*G37))*(Parametres!$B$5+Parametres!$B$6))</x:f>
      </x:c>
      <x:c r="P37" s="48" t="str">
        <x:f>IF(OR(F37="",K37="",G37=""),"",(K37-F37)*G37+IF(L37="Oui",(N37-F37)*G37*M37,0))</x:f>
      </x:c>
      <x:c r="Q37" s="48" t="str">
        <x:f>IF(P37="","",P37-O37)</x:f>
      </x:c>
      <x:c r="R37" s="52" t="str">
        <x:f>IF(OR(Q37="",H37=0),"",Q37/H37)</x:f>
      </x:c>
      <x:c r="S37" s="56" t="str">
        <x:f>IF(OR(B37="",I37=""),"",I37-B37)</x:f>
      </x:c>
      <x:c r="T37" s="54"/>
      <x:c r="U37" s="54"/>
      <x:c r="V37" s="38"/>
      <x:c r="W37" s="36" t="str">
        <x:f>IF(B37="","",IF(I37="","OUVERT",IF(Q37&gt;0,"GAGNANT",IF(Q37&lt;0,"PERDANT","FLAT"))))</x:f>
      </x:c>
      <x:c r="X37" s="38"/>
    </x:row>
    <x:row r="38">
      <x:c r="A38" s="36" t="str">
        <x:f>IF(B38="","",ROW()-3)</x:f>
      </x:c>
      <x:c r="B38" s="42"/>
      <x:c r="C38" s="38"/>
      <x:c r="D38" s="38"/>
      <x:c r="E38" s="38"/>
      <x:c r="F38" s="46"/>
      <x:c r="G38" s="50"/>
      <x:c r="H38" s="48" t="str">
        <x:f>IF(OR(F38="",G38=""),"",F38*G38)</x:f>
      </x:c>
      <x:c r="I38" s="44"/>
      <x:c r="J38" s="40"/>
      <x:c r="K38" s="48"/>
      <x:c r="L38" s="40"/>
      <x:c r="M38" s="52"/>
      <x:c r="N38" s="48"/>
      <x:c r="O38" s="48" t="str">
        <x:f>IF(F38="","",(F38*G38+IF(K38="",0,K38*G38))*(Parametres!$B$5+Parametres!$B$6))</x:f>
      </x:c>
      <x:c r="P38" s="48" t="str">
        <x:f>IF(OR(F38="",K38="",G38=""),"",(K38-F38)*G38+IF(L38="Oui",(N38-F38)*G38*M38,0))</x:f>
      </x:c>
      <x:c r="Q38" s="48" t="str">
        <x:f>IF(P38="","",P38-O38)</x:f>
      </x:c>
      <x:c r="R38" s="52" t="str">
        <x:f>IF(OR(Q38="",H38=0),"",Q38/H38)</x:f>
      </x:c>
      <x:c r="S38" s="56" t="str">
        <x:f>IF(OR(B38="",I38=""),"",I38-B38)</x:f>
      </x:c>
      <x:c r="T38" s="54"/>
      <x:c r="U38" s="54"/>
      <x:c r="V38" s="38"/>
      <x:c r="W38" s="36" t="str">
        <x:f>IF(B38="","",IF(I38="","OUVERT",IF(Q38&gt;0,"GAGNANT",IF(Q38&lt;0,"PERDANT","FLAT"))))</x:f>
      </x:c>
      <x:c r="X38" s="38"/>
    </x:row>
    <x:row r="39">
      <x:c r="A39" s="36" t="str">
        <x:f>IF(B39="","",ROW()-3)</x:f>
      </x:c>
      <x:c r="B39" s="42"/>
      <x:c r="C39" s="38"/>
      <x:c r="D39" s="38"/>
      <x:c r="E39" s="38"/>
      <x:c r="F39" s="46"/>
      <x:c r="G39" s="50"/>
      <x:c r="H39" s="48" t="str">
        <x:f>IF(OR(F39="",G39=""),"",F39*G39)</x:f>
      </x:c>
      <x:c r="I39" s="44"/>
      <x:c r="J39" s="40"/>
      <x:c r="K39" s="48"/>
      <x:c r="L39" s="40"/>
      <x:c r="M39" s="52"/>
      <x:c r="N39" s="48"/>
      <x:c r="O39" s="48" t="str">
        <x:f>IF(F39="","",(F39*G39+IF(K39="",0,K39*G39))*(Parametres!$B$5+Parametres!$B$6))</x:f>
      </x:c>
      <x:c r="P39" s="48" t="str">
        <x:f>IF(OR(F39="",K39="",G39=""),"",(K39-F39)*G39+IF(L39="Oui",(N39-F39)*G39*M39,0))</x:f>
      </x:c>
      <x:c r="Q39" s="48" t="str">
        <x:f>IF(P39="","",P39-O39)</x:f>
      </x:c>
      <x:c r="R39" s="52" t="str">
        <x:f>IF(OR(Q39="",H39=0),"",Q39/H39)</x:f>
      </x:c>
      <x:c r="S39" s="56" t="str">
        <x:f>IF(OR(B39="",I39=""),"",I39-B39)</x:f>
      </x:c>
      <x:c r="T39" s="54"/>
      <x:c r="U39" s="54"/>
      <x:c r="V39" s="38"/>
      <x:c r="W39" s="36" t="str">
        <x:f>IF(B39="","",IF(I39="","OUVERT",IF(Q39&gt;0,"GAGNANT",IF(Q39&lt;0,"PERDANT","FLAT"))))</x:f>
      </x:c>
      <x:c r="X39" s="38"/>
    </x:row>
    <x:row r="40">
      <x:c r="A40" s="36" t="str">
        <x:f>IF(B40="","",ROW()-3)</x:f>
      </x:c>
      <x:c r="B40" s="42"/>
      <x:c r="C40" s="38"/>
      <x:c r="D40" s="38"/>
      <x:c r="E40" s="38"/>
      <x:c r="F40" s="46"/>
      <x:c r="G40" s="50"/>
      <x:c r="H40" s="48" t="str">
        <x:f>IF(OR(F40="",G40=""),"",F40*G40)</x:f>
      </x:c>
      <x:c r="I40" s="44"/>
      <x:c r="J40" s="40"/>
      <x:c r="K40" s="48"/>
      <x:c r="L40" s="40"/>
      <x:c r="M40" s="52"/>
      <x:c r="N40" s="48"/>
      <x:c r="O40" s="48" t="str">
        <x:f>IF(F40="","",(F40*G40+IF(K40="",0,K40*G40))*(Parametres!$B$5+Parametres!$B$6))</x:f>
      </x:c>
      <x:c r="P40" s="48" t="str">
        <x:f>IF(OR(F40="",K40="",G40=""),"",(K40-F40)*G40+IF(L40="Oui",(N40-F40)*G40*M40,0))</x:f>
      </x:c>
      <x:c r="Q40" s="48" t="str">
        <x:f>IF(P40="","",P40-O40)</x:f>
      </x:c>
      <x:c r="R40" s="52" t="str">
        <x:f>IF(OR(Q40="",H40=0),"",Q40/H40)</x:f>
      </x:c>
      <x:c r="S40" s="56" t="str">
        <x:f>IF(OR(B40="",I40=""),"",I40-B40)</x:f>
      </x:c>
      <x:c r="T40" s="54"/>
      <x:c r="U40" s="54"/>
      <x:c r="V40" s="38"/>
      <x:c r="W40" s="36" t="str">
        <x:f>IF(B40="","",IF(I40="","OUVERT",IF(Q40&gt;0,"GAGNANT",IF(Q40&lt;0,"PERDANT","FLAT"))))</x:f>
      </x:c>
      <x:c r="X40" s="38"/>
    </x:row>
    <x:row r="41">
      <x:c r="A41" s="36" t="str">
        <x:f>IF(B41="","",ROW()-3)</x:f>
      </x:c>
      <x:c r="B41" s="42"/>
      <x:c r="C41" s="38"/>
      <x:c r="D41" s="38"/>
      <x:c r="E41" s="38"/>
      <x:c r="F41" s="46"/>
      <x:c r="G41" s="50"/>
      <x:c r="H41" s="48" t="str">
        <x:f>IF(OR(F41="",G41=""),"",F41*G41)</x:f>
      </x:c>
      <x:c r="I41" s="44"/>
      <x:c r="J41" s="40"/>
      <x:c r="K41" s="48"/>
      <x:c r="L41" s="40"/>
      <x:c r="M41" s="52"/>
      <x:c r="N41" s="48"/>
      <x:c r="O41" s="48" t="str">
        <x:f>IF(F41="","",(F41*G41+IF(K41="",0,K41*G41))*(Parametres!$B$5+Parametres!$B$6))</x:f>
      </x:c>
      <x:c r="P41" s="48" t="str">
        <x:f>IF(OR(F41="",K41="",G41=""),"",(K41-F41)*G41+IF(L41="Oui",(N41-F41)*G41*M41,0))</x:f>
      </x:c>
      <x:c r="Q41" s="48" t="str">
        <x:f>IF(P41="","",P41-O41)</x:f>
      </x:c>
      <x:c r="R41" s="52" t="str">
        <x:f>IF(OR(Q41="",H41=0),"",Q41/H41)</x:f>
      </x:c>
      <x:c r="S41" s="56" t="str">
        <x:f>IF(OR(B41="",I41=""),"",I41-B41)</x:f>
      </x:c>
      <x:c r="T41" s="54"/>
      <x:c r="U41" s="54"/>
      <x:c r="V41" s="38"/>
      <x:c r="W41" s="36" t="str">
        <x:f>IF(B41="","",IF(I41="","OUVERT",IF(Q41&gt;0,"GAGNANT",IF(Q41&lt;0,"PERDANT","FLAT"))))</x:f>
      </x:c>
      <x:c r="X41" s="38"/>
    </x:row>
    <x:row r="42">
      <x:c r="A42" s="36" t="str">
        <x:f>IF(B42="","",ROW()-3)</x:f>
      </x:c>
      <x:c r="B42" s="42"/>
      <x:c r="C42" s="38"/>
      <x:c r="D42" s="38"/>
      <x:c r="E42" s="38"/>
      <x:c r="F42" s="46"/>
      <x:c r="G42" s="50"/>
      <x:c r="H42" s="48" t="str">
        <x:f>IF(OR(F42="",G42=""),"",F42*G42)</x:f>
      </x:c>
      <x:c r="I42" s="44"/>
      <x:c r="J42" s="40"/>
      <x:c r="K42" s="48"/>
      <x:c r="L42" s="40"/>
      <x:c r="M42" s="52"/>
      <x:c r="N42" s="48"/>
      <x:c r="O42" s="48" t="str">
        <x:f>IF(F42="","",(F42*G42+IF(K42="",0,K42*G42))*(Parametres!$B$5+Parametres!$B$6))</x:f>
      </x:c>
      <x:c r="P42" s="48" t="str">
        <x:f>IF(OR(F42="",K42="",G42=""),"",(K42-F42)*G42+IF(L42="Oui",(N42-F42)*G42*M42,0))</x:f>
      </x:c>
      <x:c r="Q42" s="48" t="str">
        <x:f>IF(P42="","",P42-O42)</x:f>
      </x:c>
      <x:c r="R42" s="52" t="str">
        <x:f>IF(OR(Q42="",H42=0),"",Q42/H42)</x:f>
      </x:c>
      <x:c r="S42" s="56" t="str">
        <x:f>IF(OR(B42="",I42=""),"",I42-B42)</x:f>
      </x:c>
      <x:c r="T42" s="54"/>
      <x:c r="U42" s="54"/>
      <x:c r="V42" s="38"/>
      <x:c r="W42" s="36" t="str">
        <x:f>IF(B42="","",IF(I42="","OUVERT",IF(Q42&gt;0,"GAGNANT",IF(Q42&lt;0,"PERDANT","FLAT"))))</x:f>
      </x:c>
      <x:c r="X42" s="38"/>
    </x:row>
    <x:row r="43">
      <x:c r="A43" s="36" t="str">
        <x:f>IF(B43="","",ROW()-3)</x:f>
      </x:c>
      <x:c r="B43" s="42"/>
      <x:c r="C43" s="38"/>
      <x:c r="D43" s="38"/>
      <x:c r="E43" s="38"/>
      <x:c r="F43" s="46"/>
      <x:c r="G43" s="50"/>
      <x:c r="H43" s="48" t="str">
        <x:f>IF(OR(F43="",G43=""),"",F43*G43)</x:f>
      </x:c>
      <x:c r="I43" s="44"/>
      <x:c r="J43" s="40"/>
      <x:c r="K43" s="48"/>
      <x:c r="L43" s="40"/>
      <x:c r="M43" s="52"/>
      <x:c r="N43" s="48"/>
      <x:c r="O43" s="48" t="str">
        <x:f>IF(F43="","",(F43*G43+IF(K43="",0,K43*G43))*(Parametres!$B$5+Parametres!$B$6))</x:f>
      </x:c>
      <x:c r="P43" s="48" t="str">
        <x:f>IF(OR(F43="",K43="",G43=""),"",(K43-F43)*G43+IF(L43="Oui",(N43-F43)*G43*M43,0))</x:f>
      </x:c>
      <x:c r="Q43" s="48" t="str">
        <x:f>IF(P43="","",P43-O43)</x:f>
      </x:c>
      <x:c r="R43" s="52" t="str">
        <x:f>IF(OR(Q43="",H43=0),"",Q43/H43)</x:f>
      </x:c>
      <x:c r="S43" s="56" t="str">
        <x:f>IF(OR(B43="",I43=""),"",I43-B43)</x:f>
      </x:c>
      <x:c r="T43" s="54"/>
      <x:c r="U43" s="54"/>
      <x:c r="V43" s="38"/>
      <x:c r="W43" s="36" t="str">
        <x:f>IF(B43="","",IF(I43="","OUVERT",IF(Q43&gt;0,"GAGNANT",IF(Q43&lt;0,"PERDANT","FLAT"))))</x:f>
      </x:c>
      <x:c r="X43" s="38"/>
    </x:row>
    <x:row r="44">
      <x:c r="A44" s="36" t="str">
        <x:f>IF(B44="","",ROW()-3)</x:f>
      </x:c>
      <x:c r="B44" s="42"/>
      <x:c r="C44" s="38"/>
      <x:c r="D44" s="38"/>
      <x:c r="E44" s="38"/>
      <x:c r="F44" s="46"/>
      <x:c r="G44" s="50"/>
      <x:c r="H44" s="48" t="str">
        <x:f>IF(OR(F44="",G44=""),"",F44*G44)</x:f>
      </x:c>
      <x:c r="I44" s="44"/>
      <x:c r="J44" s="40"/>
      <x:c r="K44" s="48"/>
      <x:c r="L44" s="40"/>
      <x:c r="M44" s="52"/>
      <x:c r="N44" s="48"/>
      <x:c r="O44" s="48" t="str">
        <x:f>IF(F44="","",(F44*G44+IF(K44="",0,K44*G44))*(Parametres!$B$5+Parametres!$B$6))</x:f>
      </x:c>
      <x:c r="P44" s="48" t="str">
        <x:f>IF(OR(F44="",K44="",G44=""),"",(K44-F44)*G44+IF(L44="Oui",(N44-F44)*G44*M44,0))</x:f>
      </x:c>
      <x:c r="Q44" s="48" t="str">
        <x:f>IF(P44="","",P44-O44)</x:f>
      </x:c>
      <x:c r="R44" s="52" t="str">
        <x:f>IF(OR(Q44="",H44=0),"",Q44/H44)</x:f>
      </x:c>
      <x:c r="S44" s="56" t="str">
        <x:f>IF(OR(B44="",I44=""),"",I44-B44)</x:f>
      </x:c>
      <x:c r="T44" s="54"/>
      <x:c r="U44" s="54"/>
      <x:c r="V44" s="38"/>
      <x:c r="W44" s="36" t="str">
        <x:f>IF(B44="","",IF(I44="","OUVERT",IF(Q44&gt;0,"GAGNANT",IF(Q44&lt;0,"PERDANT","FLAT"))))</x:f>
      </x:c>
      <x:c r="X44" s="38"/>
    </x:row>
    <x:row r="45">
      <x:c r="A45" s="36" t="str">
        <x:f>IF(B45="","",ROW()-3)</x:f>
      </x:c>
      <x:c r="B45" s="42"/>
      <x:c r="C45" s="38"/>
      <x:c r="D45" s="38"/>
      <x:c r="E45" s="38"/>
      <x:c r="F45" s="46"/>
      <x:c r="G45" s="50"/>
      <x:c r="H45" s="48" t="str">
        <x:f>IF(OR(F45="",G45=""),"",F45*G45)</x:f>
      </x:c>
      <x:c r="I45" s="44"/>
      <x:c r="J45" s="40"/>
      <x:c r="K45" s="48"/>
      <x:c r="L45" s="40"/>
      <x:c r="M45" s="52"/>
      <x:c r="N45" s="48"/>
      <x:c r="O45" s="48" t="str">
        <x:f>IF(F45="","",(F45*G45+IF(K45="",0,K45*G45))*(Parametres!$B$5+Parametres!$B$6))</x:f>
      </x:c>
      <x:c r="P45" s="48" t="str">
        <x:f>IF(OR(F45="",K45="",G45=""),"",(K45-F45)*G45+IF(L45="Oui",(N45-F45)*G45*M45,0))</x:f>
      </x:c>
      <x:c r="Q45" s="48" t="str">
        <x:f>IF(P45="","",P45-O45)</x:f>
      </x:c>
      <x:c r="R45" s="52" t="str">
        <x:f>IF(OR(Q45="",H45=0),"",Q45/H45)</x:f>
      </x:c>
      <x:c r="S45" s="56" t="str">
        <x:f>IF(OR(B45="",I45=""),"",I45-B45)</x:f>
      </x:c>
      <x:c r="T45" s="54"/>
      <x:c r="U45" s="54"/>
      <x:c r="V45" s="38"/>
      <x:c r="W45" s="36" t="str">
        <x:f>IF(B45="","",IF(I45="","OUVERT",IF(Q45&gt;0,"GAGNANT",IF(Q45&lt;0,"PERDANT","FLAT"))))</x:f>
      </x:c>
      <x:c r="X45" s="38"/>
    </x:row>
    <x:row r="46">
      <x:c r="A46" s="36" t="str">
        <x:f>IF(B46="","",ROW()-3)</x:f>
      </x:c>
      <x:c r="B46" s="42"/>
      <x:c r="C46" s="38"/>
      <x:c r="D46" s="38"/>
      <x:c r="E46" s="38"/>
      <x:c r="F46" s="46"/>
      <x:c r="G46" s="50"/>
      <x:c r="H46" s="48" t="str">
        <x:f>IF(OR(F46="",G46=""),"",F46*G46)</x:f>
      </x:c>
      <x:c r="I46" s="44"/>
      <x:c r="J46" s="40"/>
      <x:c r="K46" s="48"/>
      <x:c r="L46" s="40"/>
      <x:c r="M46" s="52"/>
      <x:c r="N46" s="48"/>
      <x:c r="O46" s="48" t="str">
        <x:f>IF(F46="","",(F46*G46+IF(K46="",0,K46*G46))*(Parametres!$B$5+Parametres!$B$6))</x:f>
      </x:c>
      <x:c r="P46" s="48" t="str">
        <x:f>IF(OR(F46="",K46="",G46=""),"",(K46-F46)*G46+IF(L46="Oui",(N46-F46)*G46*M46,0))</x:f>
      </x:c>
      <x:c r="Q46" s="48" t="str">
        <x:f>IF(P46="","",P46-O46)</x:f>
      </x:c>
      <x:c r="R46" s="52" t="str">
        <x:f>IF(OR(Q46="",H46=0),"",Q46/H46)</x:f>
      </x:c>
      <x:c r="S46" s="56" t="str">
        <x:f>IF(OR(B46="",I46=""),"",I46-B46)</x:f>
      </x:c>
      <x:c r="T46" s="54"/>
      <x:c r="U46" s="54"/>
      <x:c r="V46" s="38"/>
      <x:c r="W46" s="36" t="str">
        <x:f>IF(B46="","",IF(I46="","OUVERT",IF(Q46&gt;0,"GAGNANT",IF(Q46&lt;0,"PERDANT","FLAT"))))</x:f>
      </x:c>
      <x:c r="X46" s="38"/>
    </x:row>
    <x:row r="47">
      <x:c r="A47" s="36" t="str">
        <x:f>IF(B47="","",ROW()-3)</x:f>
      </x:c>
      <x:c r="B47" s="42"/>
      <x:c r="C47" s="38"/>
      <x:c r="D47" s="38"/>
      <x:c r="E47" s="38"/>
      <x:c r="F47" s="46"/>
      <x:c r="G47" s="50"/>
      <x:c r="H47" s="48" t="str">
        <x:f>IF(OR(F47="",G47=""),"",F47*G47)</x:f>
      </x:c>
      <x:c r="I47" s="44"/>
      <x:c r="J47" s="40"/>
      <x:c r="K47" s="48"/>
      <x:c r="L47" s="40"/>
      <x:c r="M47" s="52"/>
      <x:c r="N47" s="48"/>
      <x:c r="O47" s="48" t="str">
        <x:f>IF(F47="","",(F47*G47+IF(K47="",0,K47*G47))*(Parametres!$B$5+Parametres!$B$6))</x:f>
      </x:c>
      <x:c r="P47" s="48" t="str">
        <x:f>IF(OR(F47="",K47="",G47=""),"",(K47-F47)*G47+IF(L47="Oui",(N47-F47)*G47*M47,0))</x:f>
      </x:c>
      <x:c r="Q47" s="48" t="str">
        <x:f>IF(P47="","",P47-O47)</x:f>
      </x:c>
      <x:c r="R47" s="52" t="str">
        <x:f>IF(OR(Q47="",H47=0),"",Q47/H47)</x:f>
      </x:c>
      <x:c r="S47" s="56" t="str">
        <x:f>IF(OR(B47="",I47=""),"",I47-B47)</x:f>
      </x:c>
      <x:c r="T47" s="54"/>
      <x:c r="U47" s="54"/>
      <x:c r="V47" s="38"/>
      <x:c r="W47" s="36" t="str">
        <x:f>IF(B47="","",IF(I47="","OUVERT",IF(Q47&gt;0,"GAGNANT",IF(Q47&lt;0,"PERDANT","FLAT"))))</x:f>
      </x:c>
      <x:c r="X47" s="38"/>
    </x:row>
    <x:row r="48">
      <x:c r="A48" s="36" t="str">
        <x:f>IF(B48="","",ROW()-3)</x:f>
      </x:c>
      <x:c r="B48" s="42"/>
      <x:c r="C48" s="38"/>
      <x:c r="D48" s="38"/>
      <x:c r="E48" s="38"/>
      <x:c r="F48" s="46"/>
      <x:c r="G48" s="50"/>
      <x:c r="H48" s="48" t="str">
        <x:f>IF(OR(F48="",G48=""),"",F48*G48)</x:f>
      </x:c>
      <x:c r="I48" s="44"/>
      <x:c r="J48" s="40"/>
      <x:c r="K48" s="48"/>
      <x:c r="L48" s="40"/>
      <x:c r="M48" s="52"/>
      <x:c r="N48" s="48"/>
      <x:c r="O48" s="48" t="str">
        <x:f>IF(F48="","",(F48*G48+IF(K48="",0,K48*G48))*(Parametres!$B$5+Parametres!$B$6))</x:f>
      </x:c>
      <x:c r="P48" s="48" t="str">
        <x:f>IF(OR(F48="",K48="",G48=""),"",(K48-F48)*G48+IF(L48="Oui",(N48-F48)*G48*M48,0))</x:f>
      </x:c>
      <x:c r="Q48" s="48" t="str">
        <x:f>IF(P48="","",P48-O48)</x:f>
      </x:c>
      <x:c r="R48" s="52" t="str">
        <x:f>IF(OR(Q48="",H48=0),"",Q48/H48)</x:f>
      </x:c>
      <x:c r="S48" s="56" t="str">
        <x:f>IF(OR(B48="",I48=""),"",I48-B48)</x:f>
      </x:c>
      <x:c r="T48" s="54"/>
      <x:c r="U48" s="54"/>
      <x:c r="V48" s="38"/>
      <x:c r="W48" s="36" t="str">
        <x:f>IF(B48="","",IF(I48="","OUVERT",IF(Q48&gt;0,"GAGNANT",IF(Q48&lt;0,"PERDANT","FLAT"))))</x:f>
      </x:c>
      <x:c r="X48" s="38"/>
    </x:row>
    <x:row r="49">
      <x:c r="A49" s="36" t="str">
        <x:f>IF(B49="","",ROW()-3)</x:f>
      </x:c>
      <x:c r="B49" s="42"/>
      <x:c r="C49" s="38"/>
      <x:c r="D49" s="38"/>
      <x:c r="E49" s="38"/>
      <x:c r="F49" s="46"/>
      <x:c r="G49" s="50"/>
      <x:c r="H49" s="48" t="str">
        <x:f>IF(OR(F49="",G49=""),"",F49*G49)</x:f>
      </x:c>
      <x:c r="I49" s="44"/>
      <x:c r="J49" s="40"/>
      <x:c r="K49" s="48"/>
      <x:c r="L49" s="40"/>
      <x:c r="M49" s="52"/>
      <x:c r="N49" s="48"/>
      <x:c r="O49" s="48" t="str">
        <x:f>IF(F49="","",(F49*G49+IF(K49="",0,K49*G49))*(Parametres!$B$5+Parametres!$B$6))</x:f>
      </x:c>
      <x:c r="P49" s="48" t="str">
        <x:f>IF(OR(F49="",K49="",G49=""),"",(K49-F49)*G49+IF(L49="Oui",(N49-F49)*G49*M49,0))</x:f>
      </x:c>
      <x:c r="Q49" s="48" t="str">
        <x:f>IF(P49="","",P49-O49)</x:f>
      </x:c>
      <x:c r="R49" s="52" t="str">
        <x:f>IF(OR(Q49="",H49=0),"",Q49/H49)</x:f>
      </x:c>
      <x:c r="S49" s="56" t="str">
        <x:f>IF(OR(B49="",I49=""),"",I49-B49)</x:f>
      </x:c>
      <x:c r="T49" s="54"/>
      <x:c r="U49" s="54"/>
      <x:c r="V49" s="38"/>
      <x:c r="W49" s="36" t="str">
        <x:f>IF(B49="","",IF(I49="","OUVERT",IF(Q49&gt;0,"GAGNANT",IF(Q49&lt;0,"PERDANT","FLAT"))))</x:f>
      </x:c>
      <x:c r="X49" s="38"/>
    </x:row>
    <x:row r="50">
      <x:c r="A50" s="36" t="str">
        <x:f>IF(B50="","",ROW()-3)</x:f>
      </x:c>
      <x:c r="B50" s="42"/>
      <x:c r="C50" s="38"/>
      <x:c r="D50" s="38"/>
      <x:c r="E50" s="38"/>
      <x:c r="F50" s="46"/>
      <x:c r="G50" s="50"/>
      <x:c r="H50" s="48" t="str">
        <x:f>IF(OR(F50="",G50=""),"",F50*G50)</x:f>
      </x:c>
      <x:c r="I50" s="44"/>
      <x:c r="J50" s="40"/>
      <x:c r="K50" s="48"/>
      <x:c r="L50" s="40"/>
      <x:c r="M50" s="52"/>
      <x:c r="N50" s="48"/>
      <x:c r="O50" s="48" t="str">
        <x:f>IF(F50="","",(F50*G50+IF(K50="",0,K50*G50))*(Parametres!$B$5+Parametres!$B$6))</x:f>
      </x:c>
      <x:c r="P50" s="48" t="str">
        <x:f>IF(OR(F50="",K50="",G50=""),"",(K50-F50)*G50+IF(L50="Oui",(N50-F50)*G50*M50,0))</x:f>
      </x:c>
      <x:c r="Q50" s="48" t="str">
        <x:f>IF(P50="","",P50-O50)</x:f>
      </x:c>
      <x:c r="R50" s="52" t="str">
        <x:f>IF(OR(Q50="",H50=0),"",Q50/H50)</x:f>
      </x:c>
      <x:c r="S50" s="56" t="str">
        <x:f>IF(OR(B50="",I50=""),"",I50-B50)</x:f>
      </x:c>
      <x:c r="T50" s="54"/>
      <x:c r="U50" s="54"/>
      <x:c r="V50" s="38"/>
      <x:c r="W50" s="36" t="str">
        <x:f>IF(B50="","",IF(I50="","OUVERT",IF(Q50&gt;0,"GAGNANT",IF(Q50&lt;0,"PERDANT","FLAT"))))</x:f>
      </x:c>
      <x:c r="X50" s="38"/>
    </x:row>
    <x:row r="51">
      <x:c r="A51" s="36" t="str">
        <x:f>IF(B51="","",ROW()-3)</x:f>
      </x:c>
      <x:c r="B51" s="42"/>
      <x:c r="C51" s="38"/>
      <x:c r="D51" s="38"/>
      <x:c r="E51" s="38"/>
      <x:c r="F51" s="46"/>
      <x:c r="G51" s="50"/>
      <x:c r="H51" s="48" t="str">
        <x:f>IF(OR(F51="",G51=""),"",F51*G51)</x:f>
      </x:c>
      <x:c r="I51" s="44"/>
      <x:c r="J51" s="40"/>
      <x:c r="K51" s="48"/>
      <x:c r="L51" s="40"/>
      <x:c r="M51" s="52"/>
      <x:c r="N51" s="48"/>
      <x:c r="O51" s="48" t="str">
        <x:f>IF(F51="","",(F51*G51+IF(K51="",0,K51*G51))*(Parametres!$B$5+Parametres!$B$6))</x:f>
      </x:c>
      <x:c r="P51" s="48" t="str">
        <x:f>IF(OR(F51="",K51="",G51=""),"",(K51-F51)*G51+IF(L51="Oui",(N51-F51)*G51*M51,0))</x:f>
      </x:c>
      <x:c r="Q51" s="48" t="str">
        <x:f>IF(P51="","",P51-O51)</x:f>
      </x:c>
      <x:c r="R51" s="52" t="str">
        <x:f>IF(OR(Q51="",H51=0),"",Q51/H51)</x:f>
      </x:c>
      <x:c r="S51" s="56" t="str">
        <x:f>IF(OR(B51="",I51=""),"",I51-B51)</x:f>
      </x:c>
      <x:c r="T51" s="54"/>
      <x:c r="U51" s="54"/>
      <x:c r="V51" s="38"/>
      <x:c r="W51" s="36" t="str">
        <x:f>IF(B51="","",IF(I51="","OUVERT",IF(Q51&gt;0,"GAGNANT",IF(Q51&lt;0,"PERDANT","FLAT"))))</x:f>
      </x:c>
      <x:c r="X51" s="38"/>
    </x:row>
    <x:row r="52">
      <x:c r="A52" s="36" t="str">
        <x:f>IF(B52="","",ROW()-3)</x:f>
      </x:c>
      <x:c r="B52" s="42"/>
      <x:c r="C52" s="38"/>
      <x:c r="D52" s="38"/>
      <x:c r="E52" s="38"/>
      <x:c r="F52" s="46"/>
      <x:c r="G52" s="50"/>
      <x:c r="H52" s="48" t="str">
        <x:f>IF(OR(F52="",G52=""),"",F52*G52)</x:f>
      </x:c>
      <x:c r="I52" s="44"/>
      <x:c r="J52" s="40"/>
      <x:c r="K52" s="48"/>
      <x:c r="L52" s="40"/>
      <x:c r="M52" s="52"/>
      <x:c r="N52" s="48"/>
      <x:c r="O52" s="48" t="str">
        <x:f>IF(F52="","",(F52*G52+IF(K52="",0,K52*G52))*(Parametres!$B$5+Parametres!$B$6))</x:f>
      </x:c>
      <x:c r="P52" s="48" t="str">
        <x:f>IF(OR(F52="",K52="",G52=""),"",(K52-F52)*G52+IF(L52="Oui",(N52-F52)*G52*M52,0))</x:f>
      </x:c>
      <x:c r="Q52" s="48" t="str">
        <x:f>IF(P52="","",P52-O52)</x:f>
      </x:c>
      <x:c r="R52" s="52" t="str">
        <x:f>IF(OR(Q52="",H52=0),"",Q52/H52)</x:f>
      </x:c>
      <x:c r="S52" s="56" t="str">
        <x:f>IF(OR(B52="",I52=""),"",I52-B52)</x:f>
      </x:c>
      <x:c r="T52" s="54"/>
      <x:c r="U52" s="54"/>
      <x:c r="V52" s="38"/>
      <x:c r="W52" s="36" t="str">
        <x:f>IF(B52="","",IF(I52="","OUVERT",IF(Q52&gt;0,"GAGNANT",IF(Q52&lt;0,"PERDANT","FLAT"))))</x:f>
      </x:c>
      <x:c r="X52" s="38"/>
    </x:row>
    <x:row r="53">
      <x:c r="A53" s="36" t="str">
        <x:f>IF(B53="","",ROW()-3)</x:f>
      </x:c>
      <x:c r="B53" s="42"/>
      <x:c r="C53" s="38"/>
      <x:c r="D53" s="38"/>
      <x:c r="E53" s="38"/>
      <x:c r="F53" s="46"/>
      <x:c r="G53" s="50"/>
      <x:c r="H53" s="48" t="str">
        <x:f>IF(OR(F53="",G53=""),"",F53*G53)</x:f>
      </x:c>
      <x:c r="I53" s="44"/>
      <x:c r="J53" s="40"/>
      <x:c r="K53" s="48"/>
      <x:c r="L53" s="40"/>
      <x:c r="M53" s="52"/>
      <x:c r="N53" s="48"/>
      <x:c r="O53" s="48" t="str">
        <x:f>IF(F53="","",(F53*G53+IF(K53="",0,K53*G53))*(Parametres!$B$5+Parametres!$B$6))</x:f>
      </x:c>
      <x:c r="P53" s="48" t="str">
        <x:f>IF(OR(F53="",K53="",G53=""),"",(K53-F53)*G53+IF(L53="Oui",(N53-F53)*G53*M53,0))</x:f>
      </x:c>
      <x:c r="Q53" s="48" t="str">
        <x:f>IF(P53="","",P53-O53)</x:f>
      </x:c>
      <x:c r="R53" s="52" t="str">
        <x:f>IF(OR(Q53="",H53=0),"",Q53/H53)</x:f>
      </x:c>
      <x:c r="S53" s="56" t="str">
        <x:f>IF(OR(B53="",I53=""),"",I53-B53)</x:f>
      </x:c>
      <x:c r="T53" s="54"/>
      <x:c r="U53" s="54"/>
      <x:c r="V53" s="38"/>
      <x:c r="W53" s="36" t="str">
        <x:f>IF(B53="","",IF(I53="","OUVERT",IF(Q53&gt;0,"GAGNANT",IF(Q53&lt;0,"PERDANT","FLAT"))))</x:f>
      </x:c>
      <x:c r="X53" s="38"/>
    </x:row>
  </x:sheetData>
  <x:mergeCells>
    <x:mergeCell ref="A1:X1"/>
  </x:mergeCells>
  <x:conditionalFormatting sqref="Q4:Q53">
    <x:cfRule type="expression" dxfId="0" priority="1">
      <x:formula>Q4&gt;0</x:formula>
    </x:cfRule>
    <x:cfRule type="expression" dxfId="1" priority="2">
      <x:formula>Q4&lt;0</x:formula>
    </x:cfRule>
  </x:conditionalFormatting>
  <x:conditionalFormatting sqref="W4:W53">
    <x:cfRule type="expression" dxfId="2" priority="3">
      <x:formula>W4="GAGNANT"</x:formula>
    </x:cfRule>
    <x:cfRule type="expression" dxfId="3" priority="4">
      <x:formula>W4="PERDANT"</x:formula>
    </x:cfRule>
  </x:conditionalFormatting>
  <x:dataValidations count="6">
    <x:dataValidation type="list" sqref="C4:C53">
      <x:formula1>"1D,1W,4H"</x:formula1>
    </x:dataValidation>
    <x:dataValidation type="list" sqref="D4:D53">
      <x:formula1>"BUY R,BUY B,BUY C,MANUEL"</x:formula1>
    </x:dataValidation>
    <x:dataValidation type="list" sqref="E4:E53">
      <x:formula1>"REVERSAL,BREAKOUT,CONTINUATION,MANUEL"</x:formula1>
    </x:dataValidation>
    <x:dataValidation type="list" sqref="J4:J53">
      <x:formula1>"SELL,TP + SELL,MANUEL"</x:formula1>
    </x:dataValidation>
    <x:dataValidation type="list" sqref="L4:L53">
      <x:formula1>"Oui,Non"</x:formula1>
    </x:dataValidation>
    <x:dataValidation type="list" sqref="V4:V53">
      <x:formula1>"Oui,Non,Partiel"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1c8b0e95bc40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2" hidden="0" customWidth="1"/>
    <x:col min="8" max="8" width="11" hidden="0" customWidth="1"/>
    <x:col min="9" max="9" width="12" hidden="0" customWidth="1"/>
    <x:col min="10" max="10" width="12" hidden="0" customWidth="1"/>
    <x:col min="11" max="11" width="12" hidden="0" customWidth="1"/>
    <x:col min="12" max="12" width="9" hidden="0" customWidth="1"/>
    <x:col min="13" max="13" width="12" hidden="0" customWidth="1"/>
    <x:col min="14" max="14" width="12" hidden="0" customWidth="1"/>
    <x:col min="15" max="15" width="13" hidden="0" customWidth="1"/>
    <x:col min="16" max="16" width="15" hidden="0" customWidth="1"/>
    <x:col min="17" max="17" width="20" hidden="0" customWidth="1"/>
    <x:col min="18" max="18" width="18" hidden="0" customWidth="1"/>
    <x:col min="19" max="19" width="11" hidden="0" customWidth="1"/>
    <x:col min="20" max="20" width="22" hidden="0" customWidth="1"/>
    <x:col min="21" max="21" width="18" hidden="0" customWidth="1"/>
    <x:col min="22" max="22" width="44" hidden="0" customWidth="1"/>
  </x:cols>
  <x:sheetData>
    <x:row r="1">
      <x:c r="A1" s="5" t="str">
        <x:v>OBSERVATIONS DU SCRIPT — À REMPLIR MÊME SANS PASSER D'ORDRE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3">
      <x:c r="A3" s="14" t="str">
        <x:v>Date / heure</x:v>
      </x:c>
      <x:c r="B3" s="14" t="str">
        <x:v>TF</x:v>
      </x:c>
      <x:c r="C3" s="14" t="str">
        <x:v>Cours BTC</x:v>
      </x:c>
      <x:c r="D3" s="14" t="str">
        <x:v>Signal script</x:v>
      </x:c>
      <x:c r="E3" s="14" t="str">
        <x:v>Position modèle</x:v>
      </x:c>
      <x:c r="F3" s="14" t="str">
        <x:v>Entrée modèle</x:v>
      </x:c>
      <x:c r="G3" s="14" t="str">
        <x:v>P&amp;L modèle %</x:v>
      </x:c>
      <x:c r="H3" s="14" t="str">
        <x:v>Régime</x:v>
      </x:c>
      <x:c r="I3" s="14" t="str">
        <x:v>Contexte HTF</x:v>
      </x:c>
      <x:c r="J3" s="14" t="str">
        <x:v>MACD rank %</x:v>
      </x:c>
      <x:c r="K3" s="14" t="str">
        <x:v>Momentum</x:v>
      </x:c>
      <x:c r="L3" s="14" t="str">
        <x:v>RSI</x:v>
      </x:c>
      <x:c r="M3" s="14" t="str">
        <x:v>EMA20</x:v>
      </x:c>
      <x:c r="N3" s="14" t="str">
        <x:v>EMA50</x:v>
      </x:c>
      <x:c r="O3" s="14" t="str">
        <x:v>Support proche</x:v>
      </x:c>
      <x:c r="P3" s="14" t="str">
        <x:v>Résistance proche</x:v>
      </x:c>
      <x:c r="Q3" s="14" t="str">
        <x:v>Action que j'aurais prise</x:v>
      </x:c>
      <x:c r="R3" s="14" t="str">
        <x:v>Problème constaté</x:v>
      </x:c>
      <x:c r="S3" s="14" t="str">
        <x:v>Gravité 1-5</x:v>
      </x:c>
      <x:c r="T3" s="14" t="str">
        <x:v>Signal aurait-il dû changer ?</x:v>
      </x:c>
      <x:c r="U3" s="14" t="str">
        <x:v>Call idéal selon recul</x:v>
      </x:c>
      <x:c r="V3" s="14" t="str">
        <x:v>Capture / lien / note</x:v>
      </x:c>
    </x:row>
    <x:row r="4">
      <x:c r="A4" s="42" t="n">
        <x:v>46259.833333333336</x:v>
      </x:c>
      <x:c r="B4" s="38" t="str">
        <x:v>1D</x:v>
      </x:c>
      <x:c r="C4" s="46"/>
      <x:c r="D4" s="38"/>
      <x:c r="E4" s="38"/>
      <x:c r="F4" s="46"/>
      <x:c r="G4" s="54"/>
      <x:c r="H4" s="38"/>
      <x:c r="I4" s="38"/>
      <x:c r="J4" s="54"/>
      <x:c r="K4" s="38"/>
      <x:c r="L4" s="58"/>
      <x:c r="M4" s="46"/>
      <x:c r="N4" s="46"/>
      <x:c r="O4" s="46"/>
      <x:c r="P4" s="46"/>
      <x:c r="Q4" s="38"/>
      <x:c r="R4" s="38"/>
      <x:c r="S4" s="38"/>
      <x:c r="T4" s="38"/>
      <x:c r="U4" s="38"/>
      <x:c r="V4" s="38"/>
    </x:row>
    <x:row r="5">
      <x:c r="A5" s="42" t="n">
        <x:v>46259.833333333336</x:v>
      </x:c>
      <x:c r="B5" s="38" t="str">
        <x:v>1W</x:v>
      </x:c>
      <x:c r="C5" s="46"/>
      <x:c r="D5" s="38"/>
      <x:c r="E5" s="38"/>
      <x:c r="F5" s="46"/>
      <x:c r="G5" s="54"/>
      <x:c r="H5" s="38"/>
      <x:c r="I5" s="38"/>
      <x:c r="J5" s="54"/>
      <x:c r="K5" s="38"/>
      <x:c r="L5" s="58"/>
      <x:c r="M5" s="46"/>
      <x:c r="N5" s="46"/>
      <x:c r="O5" s="46"/>
      <x:c r="P5" s="46"/>
      <x:c r="Q5" s="38"/>
      <x:c r="R5" s="38"/>
      <x:c r="S5" s="38"/>
      <x:c r="T5" s="38"/>
      <x:c r="U5" s="38"/>
      <x:c r="V5" s="38"/>
    </x:row>
    <x:row r="6">
      <x:c r="A6" s="42" t="n">
        <x:v>46260.833333333336</x:v>
      </x:c>
      <x:c r="B6" s="38" t="str">
        <x:v>1D</x:v>
      </x:c>
      <x:c r="C6" s="46"/>
      <x:c r="D6" s="38"/>
      <x:c r="E6" s="38"/>
      <x:c r="F6" s="46"/>
      <x:c r="G6" s="54"/>
      <x:c r="H6" s="38"/>
      <x:c r="I6" s="38"/>
      <x:c r="J6" s="54"/>
      <x:c r="K6" s="38"/>
      <x:c r="L6" s="58"/>
      <x:c r="M6" s="46"/>
      <x:c r="N6" s="46"/>
      <x:c r="O6" s="46"/>
      <x:c r="P6" s="46"/>
      <x:c r="Q6" s="38"/>
      <x:c r="R6" s="38"/>
      <x:c r="S6" s="38"/>
      <x:c r="T6" s="38"/>
      <x:c r="U6" s="38"/>
      <x:c r="V6" s="38"/>
    </x:row>
    <x:row r="7">
      <x:c r="A7" s="42" t="n">
        <x:v>46260.833333333336</x:v>
      </x:c>
      <x:c r="B7" s="38" t="str">
        <x:v>1W</x:v>
      </x:c>
      <x:c r="C7" s="46"/>
      <x:c r="D7" s="38"/>
      <x:c r="E7" s="38"/>
      <x:c r="F7" s="46"/>
      <x:c r="G7" s="54"/>
      <x:c r="H7" s="38"/>
      <x:c r="I7" s="38"/>
      <x:c r="J7" s="54"/>
      <x:c r="K7" s="38"/>
      <x:c r="L7" s="58"/>
      <x:c r="M7" s="46"/>
      <x:c r="N7" s="46"/>
      <x:c r="O7" s="46"/>
      <x:c r="P7" s="46"/>
      <x:c r="Q7" s="38"/>
      <x:c r="R7" s="38"/>
      <x:c r="S7" s="38"/>
      <x:c r="T7" s="38"/>
      <x:c r="U7" s="38"/>
      <x:c r="V7" s="38"/>
    </x:row>
    <x:row r="8">
      <x:c r="A8" s="42" t="n">
        <x:v>46261.833333333336</x:v>
      </x:c>
      <x:c r="B8" s="38" t="str">
        <x:v>1D</x:v>
      </x:c>
      <x:c r="C8" s="46"/>
      <x:c r="D8" s="38"/>
      <x:c r="E8" s="38"/>
      <x:c r="F8" s="46"/>
      <x:c r="G8" s="54"/>
      <x:c r="H8" s="38"/>
      <x:c r="I8" s="38"/>
      <x:c r="J8" s="54"/>
      <x:c r="K8" s="38"/>
      <x:c r="L8" s="58"/>
      <x:c r="M8" s="46"/>
      <x:c r="N8" s="46"/>
      <x:c r="O8" s="46"/>
      <x:c r="P8" s="46"/>
      <x:c r="Q8" s="38"/>
      <x:c r="R8" s="38"/>
      <x:c r="S8" s="38"/>
      <x:c r="T8" s="38"/>
      <x:c r="U8" s="38"/>
      <x:c r="V8" s="38"/>
    </x:row>
    <x:row r="9">
      <x:c r="A9" s="42" t="n">
        <x:v>46261.833333333336</x:v>
      </x:c>
      <x:c r="B9" s="38" t="str">
        <x:v>1W</x:v>
      </x:c>
      <x:c r="C9" s="46"/>
      <x:c r="D9" s="38"/>
      <x:c r="E9" s="38"/>
      <x:c r="F9" s="46"/>
      <x:c r="G9" s="54"/>
      <x:c r="H9" s="38"/>
      <x:c r="I9" s="38"/>
      <x:c r="J9" s="54"/>
      <x:c r="K9" s="38"/>
      <x:c r="L9" s="58"/>
      <x:c r="M9" s="46"/>
      <x:c r="N9" s="46"/>
      <x:c r="O9" s="46"/>
      <x:c r="P9" s="46"/>
      <x:c r="Q9" s="38"/>
      <x:c r="R9" s="38"/>
      <x:c r="S9" s="38"/>
      <x:c r="T9" s="38"/>
      <x:c r="U9" s="38"/>
      <x:c r="V9" s="38"/>
    </x:row>
    <x:row r="10">
      <x:c r="A10" s="42" t="n">
        <x:v>46262.833333333336</x:v>
      </x:c>
      <x:c r="B10" s="38" t="str">
        <x:v>1D</x:v>
      </x:c>
      <x:c r="C10" s="46"/>
      <x:c r="D10" s="38"/>
      <x:c r="E10" s="38"/>
      <x:c r="F10" s="46"/>
      <x:c r="G10" s="54"/>
      <x:c r="H10" s="38"/>
      <x:c r="I10" s="38"/>
      <x:c r="J10" s="54"/>
      <x:c r="K10" s="38"/>
      <x:c r="L10" s="58"/>
      <x:c r="M10" s="46"/>
      <x:c r="N10" s="46"/>
      <x:c r="O10" s="46"/>
      <x:c r="P10" s="46"/>
      <x:c r="Q10" s="38"/>
      <x:c r="R10" s="38"/>
      <x:c r="S10" s="38"/>
      <x:c r="T10" s="38"/>
      <x:c r="U10" s="38"/>
      <x:c r="V10" s="38"/>
    </x:row>
    <x:row r="11">
      <x:c r="A11" s="42" t="n">
        <x:v>46262.833333333336</x:v>
      </x:c>
      <x:c r="B11" s="38" t="str">
        <x:v>1W</x:v>
      </x:c>
      <x:c r="C11" s="46"/>
      <x:c r="D11" s="38"/>
      <x:c r="E11" s="38"/>
      <x:c r="F11" s="46"/>
      <x:c r="G11" s="54"/>
      <x:c r="H11" s="38"/>
      <x:c r="I11" s="38"/>
      <x:c r="J11" s="54"/>
      <x:c r="K11" s="38"/>
      <x:c r="L11" s="58"/>
      <x:c r="M11" s="46"/>
      <x:c r="N11" s="46"/>
      <x:c r="O11" s="46"/>
      <x:c r="P11" s="46"/>
      <x:c r="Q11" s="38"/>
      <x:c r="R11" s="38"/>
      <x:c r="S11" s="38"/>
      <x:c r="T11" s="38"/>
      <x:c r="U11" s="38"/>
      <x:c r="V11" s="38"/>
    </x:row>
    <x:row r="12">
      <x:c r="A12" s="42" t="n">
        <x:v>46263.833333333336</x:v>
      </x:c>
      <x:c r="B12" s="38" t="str">
        <x:v>1D</x:v>
      </x:c>
      <x:c r="C12" s="46"/>
      <x:c r="D12" s="38"/>
      <x:c r="E12" s="38"/>
      <x:c r="F12" s="46"/>
      <x:c r="G12" s="54"/>
      <x:c r="H12" s="38"/>
      <x:c r="I12" s="38"/>
      <x:c r="J12" s="54"/>
      <x:c r="K12" s="38"/>
      <x:c r="L12" s="58"/>
      <x:c r="M12" s="46"/>
      <x:c r="N12" s="46"/>
      <x:c r="O12" s="46"/>
      <x:c r="P12" s="46"/>
      <x:c r="Q12" s="38"/>
      <x:c r="R12" s="38"/>
      <x:c r="S12" s="38"/>
      <x:c r="T12" s="38"/>
      <x:c r="U12" s="38"/>
      <x:c r="V12" s="38"/>
    </x:row>
    <x:row r="13">
      <x:c r="A13" s="42" t="n">
        <x:v>46263.833333333336</x:v>
      </x:c>
      <x:c r="B13" s="38" t="str">
        <x:v>1W</x:v>
      </x:c>
      <x:c r="C13" s="46"/>
      <x:c r="D13" s="38"/>
      <x:c r="E13" s="38"/>
      <x:c r="F13" s="46"/>
      <x:c r="G13" s="54"/>
      <x:c r="H13" s="38"/>
      <x:c r="I13" s="38"/>
      <x:c r="J13" s="54"/>
      <x:c r="K13" s="38"/>
      <x:c r="L13" s="58"/>
      <x:c r="M13" s="46"/>
      <x:c r="N13" s="46"/>
      <x:c r="O13" s="46"/>
      <x:c r="P13" s="46"/>
      <x:c r="Q13" s="38"/>
      <x:c r="R13" s="38"/>
      <x:c r="S13" s="38"/>
      <x:c r="T13" s="38"/>
      <x:c r="U13" s="38"/>
      <x:c r="V13" s="38"/>
    </x:row>
    <x:row r="14">
      <x:c r="A14" s="42" t="n">
        <x:v>46264.833333333336</x:v>
      </x:c>
      <x:c r="B14" s="38" t="str">
        <x:v>1D</x:v>
      </x:c>
      <x:c r="C14" s="46"/>
      <x:c r="D14" s="38"/>
      <x:c r="E14" s="38"/>
      <x:c r="F14" s="46"/>
      <x:c r="G14" s="54"/>
      <x:c r="H14" s="38"/>
      <x:c r="I14" s="38"/>
      <x:c r="J14" s="54"/>
      <x:c r="K14" s="38"/>
      <x:c r="L14" s="58"/>
      <x:c r="M14" s="46"/>
      <x:c r="N14" s="46"/>
      <x:c r="O14" s="46"/>
      <x:c r="P14" s="46"/>
      <x:c r="Q14" s="38"/>
      <x:c r="R14" s="38"/>
      <x:c r="S14" s="38"/>
      <x:c r="T14" s="38"/>
      <x:c r="U14" s="38"/>
      <x:c r="V14" s="38"/>
    </x:row>
    <x:row r="15">
      <x:c r="A15" s="42" t="n">
        <x:v>46264.833333333336</x:v>
      </x:c>
      <x:c r="B15" s="38" t="str">
        <x:v>1W</x:v>
      </x:c>
      <x:c r="C15" s="46"/>
      <x:c r="D15" s="38"/>
      <x:c r="E15" s="38"/>
      <x:c r="F15" s="46"/>
      <x:c r="G15" s="54"/>
      <x:c r="H15" s="38"/>
      <x:c r="I15" s="38"/>
      <x:c r="J15" s="54"/>
      <x:c r="K15" s="38"/>
      <x:c r="L15" s="58"/>
      <x:c r="M15" s="46"/>
      <x:c r="N15" s="46"/>
      <x:c r="O15" s="46"/>
      <x:c r="P15" s="46"/>
      <x:c r="Q15" s="38"/>
      <x:c r="R15" s="38"/>
      <x:c r="S15" s="38"/>
      <x:c r="T15" s="38"/>
      <x:c r="U15" s="38"/>
      <x:c r="V15" s="38"/>
    </x:row>
    <x:row r="16">
      <x:c r="A16" s="42" t="n">
        <x:v>46265.833333333336</x:v>
      </x:c>
      <x:c r="B16" s="38" t="str">
        <x:v>1D</x:v>
      </x:c>
      <x:c r="C16" s="46"/>
      <x:c r="D16" s="38"/>
      <x:c r="E16" s="38"/>
      <x:c r="F16" s="46"/>
      <x:c r="G16" s="54"/>
      <x:c r="H16" s="38"/>
      <x:c r="I16" s="38"/>
      <x:c r="J16" s="54"/>
      <x:c r="K16" s="38"/>
      <x:c r="L16" s="58"/>
      <x:c r="M16" s="46"/>
      <x:c r="N16" s="46"/>
      <x:c r="O16" s="46"/>
      <x:c r="P16" s="46"/>
      <x:c r="Q16" s="38"/>
      <x:c r="R16" s="38"/>
      <x:c r="S16" s="38"/>
      <x:c r="T16" s="38"/>
      <x:c r="U16" s="38"/>
      <x:c r="V16" s="38"/>
    </x:row>
    <x:row r="17">
      <x:c r="A17" s="42" t="n">
        <x:v>46265.833333333336</x:v>
      </x:c>
      <x:c r="B17" s="38" t="str">
        <x:v>1W</x:v>
      </x:c>
      <x:c r="C17" s="46"/>
      <x:c r="D17" s="38"/>
      <x:c r="E17" s="38"/>
      <x:c r="F17" s="46"/>
      <x:c r="G17" s="54"/>
      <x:c r="H17" s="38"/>
      <x:c r="I17" s="38"/>
      <x:c r="J17" s="54"/>
      <x:c r="K17" s="38"/>
      <x:c r="L17" s="58"/>
      <x:c r="M17" s="46"/>
      <x:c r="N17" s="46"/>
      <x:c r="O17" s="46"/>
      <x:c r="P17" s="46"/>
      <x:c r="Q17" s="38"/>
      <x:c r="R17" s="38"/>
      <x:c r="S17" s="38"/>
      <x:c r="T17" s="38"/>
      <x:c r="U17" s="38"/>
      <x:c r="V17" s="38"/>
    </x:row>
    <x:row r="18">
      <x:c r="A18" s="42"/>
      <x:c r="B18" s="38"/>
      <x:c r="C18" s="46"/>
      <x:c r="D18" s="38"/>
      <x:c r="E18" s="38"/>
      <x:c r="F18" s="46"/>
      <x:c r="G18" s="54"/>
      <x:c r="H18" s="38"/>
      <x:c r="I18" s="38"/>
      <x:c r="J18" s="54"/>
      <x:c r="K18" s="38"/>
      <x:c r="L18" s="58"/>
      <x:c r="M18" s="46"/>
      <x:c r="N18" s="46"/>
      <x:c r="O18" s="46"/>
      <x:c r="P18" s="46"/>
      <x:c r="Q18" s="38"/>
      <x:c r="R18" s="38"/>
      <x:c r="S18" s="38"/>
      <x:c r="T18" s="38"/>
      <x:c r="U18" s="38"/>
      <x:c r="V18" s="38"/>
    </x:row>
    <x:row r="19">
      <x:c r="A19" s="42"/>
      <x:c r="B19" s="38"/>
      <x:c r="C19" s="46"/>
      <x:c r="D19" s="38"/>
      <x:c r="E19" s="38"/>
      <x:c r="F19" s="46"/>
      <x:c r="G19" s="54"/>
      <x:c r="H19" s="38"/>
      <x:c r="I19" s="38"/>
      <x:c r="J19" s="54"/>
      <x:c r="K19" s="38"/>
      <x:c r="L19" s="58"/>
      <x:c r="M19" s="46"/>
      <x:c r="N19" s="46"/>
      <x:c r="O19" s="46"/>
      <x:c r="P19" s="46"/>
      <x:c r="Q19" s="38"/>
      <x:c r="R19" s="38"/>
      <x:c r="S19" s="38"/>
      <x:c r="T19" s="38"/>
      <x:c r="U19" s="38"/>
      <x:c r="V19" s="38"/>
    </x:row>
    <x:row r="20">
      <x:c r="A20" s="42"/>
      <x:c r="B20" s="38"/>
      <x:c r="C20" s="46"/>
      <x:c r="D20" s="38"/>
      <x:c r="E20" s="38"/>
      <x:c r="F20" s="46"/>
      <x:c r="G20" s="54"/>
      <x:c r="H20" s="38"/>
      <x:c r="I20" s="38"/>
      <x:c r="J20" s="54"/>
      <x:c r="K20" s="38"/>
      <x:c r="L20" s="58"/>
      <x:c r="M20" s="46"/>
      <x:c r="N20" s="46"/>
      <x:c r="O20" s="46"/>
      <x:c r="P20" s="46"/>
      <x:c r="Q20" s="38"/>
      <x:c r="R20" s="38"/>
      <x:c r="S20" s="38"/>
      <x:c r="T20" s="38"/>
      <x:c r="U20" s="38"/>
      <x:c r="V20" s="38"/>
    </x:row>
    <x:row r="21">
      <x:c r="A21" s="42"/>
      <x:c r="B21" s="38"/>
      <x:c r="C21" s="46"/>
      <x:c r="D21" s="38"/>
      <x:c r="E21" s="38"/>
      <x:c r="F21" s="46"/>
      <x:c r="G21" s="54"/>
      <x:c r="H21" s="38"/>
      <x:c r="I21" s="38"/>
      <x:c r="J21" s="54"/>
      <x:c r="K21" s="38"/>
      <x:c r="L21" s="58"/>
      <x:c r="M21" s="46"/>
      <x:c r="N21" s="46"/>
      <x:c r="O21" s="46"/>
      <x:c r="P21" s="46"/>
      <x:c r="Q21" s="38"/>
      <x:c r="R21" s="38"/>
      <x:c r="S21" s="38"/>
      <x:c r="T21" s="38"/>
      <x:c r="U21" s="38"/>
      <x:c r="V21" s="38"/>
    </x:row>
    <x:row r="22">
      <x:c r="A22" s="42"/>
      <x:c r="B22" s="38"/>
      <x:c r="C22" s="46"/>
      <x:c r="D22" s="38"/>
      <x:c r="E22" s="38"/>
      <x:c r="F22" s="46"/>
      <x:c r="G22" s="54"/>
      <x:c r="H22" s="38"/>
      <x:c r="I22" s="38"/>
      <x:c r="J22" s="54"/>
      <x:c r="K22" s="38"/>
      <x:c r="L22" s="58"/>
      <x:c r="M22" s="46"/>
      <x:c r="N22" s="46"/>
      <x:c r="O22" s="46"/>
      <x:c r="P22" s="46"/>
      <x:c r="Q22" s="38"/>
      <x:c r="R22" s="38"/>
      <x:c r="S22" s="38"/>
      <x:c r="T22" s="38"/>
      <x:c r="U22" s="38"/>
      <x:c r="V22" s="38"/>
    </x:row>
    <x:row r="23">
      <x:c r="A23" s="42"/>
      <x:c r="B23" s="38"/>
      <x:c r="C23" s="46"/>
      <x:c r="D23" s="38"/>
      <x:c r="E23" s="38"/>
      <x:c r="F23" s="46"/>
      <x:c r="G23" s="54"/>
      <x:c r="H23" s="38"/>
      <x:c r="I23" s="38"/>
      <x:c r="J23" s="54"/>
      <x:c r="K23" s="38"/>
      <x:c r="L23" s="58"/>
      <x:c r="M23" s="46"/>
      <x:c r="N23" s="46"/>
      <x:c r="O23" s="46"/>
      <x:c r="P23" s="46"/>
      <x:c r="Q23" s="38"/>
      <x:c r="R23" s="38"/>
      <x:c r="S23" s="38"/>
      <x:c r="T23" s="38"/>
      <x:c r="U23" s="38"/>
      <x:c r="V23" s="38"/>
    </x:row>
    <x:row r="24">
      <x:c r="A24" s="42"/>
      <x:c r="B24" s="38"/>
      <x:c r="C24" s="46"/>
      <x:c r="D24" s="38"/>
      <x:c r="E24" s="38"/>
      <x:c r="F24" s="46"/>
      <x:c r="G24" s="54"/>
      <x:c r="H24" s="38"/>
      <x:c r="I24" s="38"/>
      <x:c r="J24" s="54"/>
      <x:c r="K24" s="38"/>
      <x:c r="L24" s="58"/>
      <x:c r="M24" s="46"/>
      <x:c r="N24" s="46"/>
      <x:c r="O24" s="46"/>
      <x:c r="P24" s="46"/>
      <x:c r="Q24" s="38"/>
      <x:c r="R24" s="38"/>
      <x:c r="S24" s="38"/>
      <x:c r="T24" s="38"/>
      <x:c r="U24" s="38"/>
      <x:c r="V24" s="38"/>
    </x:row>
    <x:row r="25">
      <x:c r="A25" s="42"/>
      <x:c r="B25" s="38"/>
      <x:c r="C25" s="46"/>
      <x:c r="D25" s="38"/>
      <x:c r="E25" s="38"/>
      <x:c r="F25" s="46"/>
      <x:c r="G25" s="54"/>
      <x:c r="H25" s="38"/>
      <x:c r="I25" s="38"/>
      <x:c r="J25" s="54"/>
      <x:c r="K25" s="38"/>
      <x:c r="L25" s="58"/>
      <x:c r="M25" s="46"/>
      <x:c r="N25" s="46"/>
      <x:c r="O25" s="46"/>
      <x:c r="P25" s="46"/>
      <x:c r="Q25" s="38"/>
      <x:c r="R25" s="38"/>
      <x:c r="S25" s="38"/>
      <x:c r="T25" s="38"/>
      <x:c r="U25" s="38"/>
      <x:c r="V25" s="38"/>
    </x:row>
    <x:row r="26">
      <x:c r="A26" s="42"/>
      <x:c r="B26" s="38"/>
      <x:c r="C26" s="46"/>
      <x:c r="D26" s="38"/>
      <x:c r="E26" s="38"/>
      <x:c r="F26" s="46"/>
      <x:c r="G26" s="54"/>
      <x:c r="H26" s="38"/>
      <x:c r="I26" s="38"/>
      <x:c r="J26" s="54"/>
      <x:c r="K26" s="38"/>
      <x:c r="L26" s="58"/>
      <x:c r="M26" s="46"/>
      <x:c r="N26" s="46"/>
      <x:c r="O26" s="46"/>
      <x:c r="P26" s="46"/>
      <x:c r="Q26" s="38"/>
      <x:c r="R26" s="38"/>
      <x:c r="S26" s="38"/>
      <x:c r="T26" s="38"/>
      <x:c r="U26" s="38"/>
      <x:c r="V26" s="38"/>
    </x:row>
    <x:row r="27">
      <x:c r="A27" s="42"/>
      <x:c r="B27" s="38"/>
      <x:c r="C27" s="46"/>
      <x:c r="D27" s="38"/>
      <x:c r="E27" s="38"/>
      <x:c r="F27" s="46"/>
      <x:c r="G27" s="54"/>
      <x:c r="H27" s="38"/>
      <x:c r="I27" s="38"/>
      <x:c r="J27" s="54"/>
      <x:c r="K27" s="38"/>
      <x:c r="L27" s="58"/>
      <x:c r="M27" s="46"/>
      <x:c r="N27" s="46"/>
      <x:c r="O27" s="46"/>
      <x:c r="P27" s="46"/>
      <x:c r="Q27" s="38"/>
      <x:c r="R27" s="38"/>
      <x:c r="S27" s="38"/>
      <x:c r="T27" s="38"/>
      <x:c r="U27" s="38"/>
      <x:c r="V27" s="38"/>
    </x:row>
    <x:row r="28">
      <x:c r="A28" s="42"/>
      <x:c r="B28" s="38"/>
      <x:c r="C28" s="46"/>
      <x:c r="D28" s="38"/>
      <x:c r="E28" s="38"/>
      <x:c r="F28" s="46"/>
      <x:c r="G28" s="54"/>
      <x:c r="H28" s="38"/>
      <x:c r="I28" s="38"/>
      <x:c r="J28" s="54"/>
      <x:c r="K28" s="38"/>
      <x:c r="L28" s="58"/>
      <x:c r="M28" s="46"/>
      <x:c r="N28" s="46"/>
      <x:c r="O28" s="46"/>
      <x:c r="P28" s="46"/>
      <x:c r="Q28" s="38"/>
      <x:c r="R28" s="38"/>
      <x:c r="S28" s="38"/>
      <x:c r="T28" s="38"/>
      <x:c r="U28" s="38"/>
      <x:c r="V28" s="38"/>
    </x:row>
    <x:row r="29">
      <x:c r="A29" s="42"/>
      <x:c r="B29" s="38"/>
      <x:c r="C29" s="46"/>
      <x:c r="D29" s="38"/>
      <x:c r="E29" s="38"/>
      <x:c r="F29" s="46"/>
      <x:c r="G29" s="54"/>
      <x:c r="H29" s="38"/>
      <x:c r="I29" s="38"/>
      <x:c r="J29" s="54"/>
      <x:c r="K29" s="38"/>
      <x:c r="L29" s="58"/>
      <x:c r="M29" s="46"/>
      <x:c r="N29" s="46"/>
      <x:c r="O29" s="46"/>
      <x:c r="P29" s="46"/>
      <x:c r="Q29" s="38"/>
      <x:c r="R29" s="38"/>
      <x:c r="S29" s="38"/>
      <x:c r="T29" s="38"/>
      <x:c r="U29" s="38"/>
      <x:c r="V29" s="38"/>
    </x:row>
    <x:row r="30">
      <x:c r="A30" s="42"/>
      <x:c r="B30" s="38"/>
      <x:c r="C30" s="46"/>
      <x:c r="D30" s="38"/>
      <x:c r="E30" s="38"/>
      <x:c r="F30" s="46"/>
      <x:c r="G30" s="54"/>
      <x:c r="H30" s="38"/>
      <x:c r="I30" s="38"/>
      <x:c r="J30" s="54"/>
      <x:c r="K30" s="38"/>
      <x:c r="L30" s="58"/>
      <x:c r="M30" s="46"/>
      <x:c r="N30" s="46"/>
      <x:c r="O30" s="46"/>
      <x:c r="P30" s="46"/>
      <x:c r="Q30" s="38"/>
      <x:c r="R30" s="38"/>
      <x:c r="S30" s="38"/>
      <x:c r="T30" s="38"/>
      <x:c r="U30" s="38"/>
      <x:c r="V30" s="38"/>
    </x:row>
    <x:row r="31">
      <x:c r="A31" s="42"/>
      <x:c r="B31" s="38"/>
      <x:c r="C31" s="46"/>
      <x:c r="D31" s="38"/>
      <x:c r="E31" s="38"/>
      <x:c r="F31" s="46"/>
      <x:c r="G31" s="54"/>
      <x:c r="H31" s="38"/>
      <x:c r="I31" s="38"/>
      <x:c r="J31" s="54"/>
      <x:c r="K31" s="38"/>
      <x:c r="L31" s="58"/>
      <x:c r="M31" s="46"/>
      <x:c r="N31" s="46"/>
      <x:c r="O31" s="46"/>
      <x:c r="P31" s="46"/>
      <x:c r="Q31" s="38"/>
      <x:c r="R31" s="38"/>
      <x:c r="S31" s="38"/>
      <x:c r="T31" s="38"/>
      <x:c r="U31" s="38"/>
      <x:c r="V31" s="38"/>
    </x:row>
    <x:row r="32">
      <x:c r="A32" s="42"/>
      <x:c r="B32" s="38"/>
      <x:c r="C32" s="46"/>
      <x:c r="D32" s="38"/>
      <x:c r="E32" s="38"/>
      <x:c r="F32" s="46"/>
      <x:c r="G32" s="54"/>
      <x:c r="H32" s="38"/>
      <x:c r="I32" s="38"/>
      <x:c r="J32" s="54"/>
      <x:c r="K32" s="38"/>
      <x:c r="L32" s="58"/>
      <x:c r="M32" s="46"/>
      <x:c r="N32" s="46"/>
      <x:c r="O32" s="46"/>
      <x:c r="P32" s="46"/>
      <x:c r="Q32" s="38"/>
      <x:c r="R32" s="38"/>
      <x:c r="S32" s="38"/>
      <x:c r="T32" s="38"/>
      <x:c r="U32" s="38"/>
      <x:c r="V32" s="38"/>
    </x:row>
    <x:row r="33">
      <x:c r="A33" s="42"/>
      <x:c r="B33" s="38"/>
      <x:c r="C33" s="46"/>
      <x:c r="D33" s="38"/>
      <x:c r="E33" s="38"/>
      <x:c r="F33" s="46"/>
      <x:c r="G33" s="54"/>
      <x:c r="H33" s="38"/>
      <x:c r="I33" s="38"/>
      <x:c r="J33" s="54"/>
      <x:c r="K33" s="38"/>
      <x:c r="L33" s="58"/>
      <x:c r="M33" s="46"/>
      <x:c r="N33" s="46"/>
      <x:c r="O33" s="46"/>
      <x:c r="P33" s="46"/>
      <x:c r="Q33" s="38"/>
      <x:c r="R33" s="38"/>
      <x:c r="S33" s="38"/>
      <x:c r="T33" s="38"/>
      <x:c r="U33" s="38"/>
      <x:c r="V33" s="38"/>
    </x:row>
    <x:row r="34">
      <x:c r="A34" s="42"/>
      <x:c r="B34" s="38"/>
      <x:c r="C34" s="46"/>
      <x:c r="D34" s="38"/>
      <x:c r="E34" s="38"/>
      <x:c r="F34" s="46"/>
      <x:c r="G34" s="54"/>
      <x:c r="H34" s="38"/>
      <x:c r="I34" s="38"/>
      <x:c r="J34" s="54"/>
      <x:c r="K34" s="38"/>
      <x:c r="L34" s="58"/>
      <x:c r="M34" s="46"/>
      <x:c r="N34" s="46"/>
      <x:c r="O34" s="46"/>
      <x:c r="P34" s="46"/>
      <x:c r="Q34" s="38"/>
      <x:c r="R34" s="38"/>
      <x:c r="S34" s="38"/>
      <x:c r="T34" s="38"/>
      <x:c r="U34" s="38"/>
      <x:c r="V34" s="38"/>
    </x:row>
    <x:row r="35">
      <x:c r="A35" s="42"/>
      <x:c r="B35" s="38"/>
      <x:c r="C35" s="46"/>
      <x:c r="D35" s="38"/>
      <x:c r="E35" s="38"/>
      <x:c r="F35" s="46"/>
      <x:c r="G35" s="54"/>
      <x:c r="H35" s="38"/>
      <x:c r="I35" s="38"/>
      <x:c r="J35" s="54"/>
      <x:c r="K35" s="38"/>
      <x:c r="L35" s="58"/>
      <x:c r="M35" s="46"/>
      <x:c r="N35" s="46"/>
      <x:c r="O35" s="46"/>
      <x:c r="P35" s="46"/>
      <x:c r="Q35" s="38"/>
      <x:c r="R35" s="38"/>
      <x:c r="S35" s="38"/>
      <x:c r="T35" s="38"/>
      <x:c r="U35" s="38"/>
      <x:c r="V35" s="38"/>
    </x:row>
    <x:row r="36">
      <x:c r="A36" s="42"/>
      <x:c r="B36" s="38"/>
      <x:c r="C36" s="46"/>
      <x:c r="D36" s="38"/>
      <x:c r="E36" s="38"/>
      <x:c r="F36" s="46"/>
      <x:c r="G36" s="54"/>
      <x:c r="H36" s="38"/>
      <x:c r="I36" s="38"/>
      <x:c r="J36" s="54"/>
      <x:c r="K36" s="38"/>
      <x:c r="L36" s="58"/>
      <x:c r="M36" s="46"/>
      <x:c r="N36" s="46"/>
      <x:c r="O36" s="46"/>
      <x:c r="P36" s="46"/>
      <x:c r="Q36" s="38"/>
      <x:c r="R36" s="38"/>
      <x:c r="S36" s="38"/>
      <x:c r="T36" s="38"/>
      <x:c r="U36" s="38"/>
      <x:c r="V36" s="38"/>
    </x:row>
    <x:row r="37">
      <x:c r="A37" s="42"/>
      <x:c r="B37" s="38"/>
      <x:c r="C37" s="46"/>
      <x:c r="D37" s="38"/>
      <x:c r="E37" s="38"/>
      <x:c r="F37" s="46"/>
      <x:c r="G37" s="54"/>
      <x:c r="H37" s="38"/>
      <x:c r="I37" s="38"/>
      <x:c r="J37" s="54"/>
      <x:c r="K37" s="38"/>
      <x:c r="L37" s="58"/>
      <x:c r="M37" s="46"/>
      <x:c r="N37" s="46"/>
      <x:c r="O37" s="46"/>
      <x:c r="P37" s="46"/>
      <x:c r="Q37" s="38"/>
      <x:c r="R37" s="38"/>
      <x:c r="S37" s="38"/>
      <x:c r="T37" s="38"/>
      <x:c r="U37" s="38"/>
      <x:c r="V37" s="38"/>
    </x:row>
    <x:row r="38">
      <x:c r="A38" s="42"/>
      <x:c r="B38" s="38"/>
      <x:c r="C38" s="46"/>
      <x:c r="D38" s="38"/>
      <x:c r="E38" s="38"/>
      <x:c r="F38" s="46"/>
      <x:c r="G38" s="54"/>
      <x:c r="H38" s="38"/>
      <x:c r="I38" s="38"/>
      <x:c r="J38" s="54"/>
      <x:c r="K38" s="38"/>
      <x:c r="L38" s="58"/>
      <x:c r="M38" s="46"/>
      <x:c r="N38" s="46"/>
      <x:c r="O38" s="46"/>
      <x:c r="P38" s="46"/>
      <x:c r="Q38" s="38"/>
      <x:c r="R38" s="38"/>
      <x:c r="S38" s="38"/>
      <x:c r="T38" s="38"/>
      <x:c r="U38" s="38"/>
      <x:c r="V38" s="38"/>
    </x:row>
    <x:row r="39">
      <x:c r="A39" s="42"/>
      <x:c r="B39" s="38"/>
      <x:c r="C39" s="46"/>
      <x:c r="D39" s="38"/>
      <x:c r="E39" s="38"/>
      <x:c r="F39" s="46"/>
      <x:c r="G39" s="54"/>
      <x:c r="H39" s="38"/>
      <x:c r="I39" s="38"/>
      <x:c r="J39" s="54"/>
      <x:c r="K39" s="38"/>
      <x:c r="L39" s="58"/>
      <x:c r="M39" s="46"/>
      <x:c r="N39" s="46"/>
      <x:c r="O39" s="46"/>
      <x:c r="P39" s="46"/>
      <x:c r="Q39" s="38"/>
      <x:c r="R39" s="38"/>
      <x:c r="S39" s="38"/>
      <x:c r="T39" s="38"/>
      <x:c r="U39" s="38"/>
      <x:c r="V39" s="38"/>
    </x:row>
    <x:row r="40">
      <x:c r="A40" s="42"/>
      <x:c r="B40" s="38"/>
      <x:c r="C40" s="46"/>
      <x:c r="D40" s="38"/>
      <x:c r="E40" s="38"/>
      <x:c r="F40" s="46"/>
      <x:c r="G40" s="54"/>
      <x:c r="H40" s="38"/>
      <x:c r="I40" s="38"/>
      <x:c r="J40" s="54"/>
      <x:c r="K40" s="38"/>
      <x:c r="L40" s="58"/>
      <x:c r="M40" s="46"/>
      <x:c r="N40" s="46"/>
      <x:c r="O40" s="46"/>
      <x:c r="P40" s="46"/>
      <x:c r="Q40" s="38"/>
      <x:c r="R40" s="38"/>
      <x:c r="S40" s="38"/>
      <x:c r="T40" s="38"/>
      <x:c r="U40" s="38"/>
      <x:c r="V40" s="38"/>
    </x:row>
    <x:row r="41">
      <x:c r="A41" s="42"/>
      <x:c r="B41" s="38"/>
      <x:c r="C41" s="46"/>
      <x:c r="D41" s="38"/>
      <x:c r="E41" s="38"/>
      <x:c r="F41" s="46"/>
      <x:c r="G41" s="54"/>
      <x:c r="H41" s="38"/>
      <x:c r="I41" s="38"/>
      <x:c r="J41" s="54"/>
      <x:c r="K41" s="38"/>
      <x:c r="L41" s="58"/>
      <x:c r="M41" s="46"/>
      <x:c r="N41" s="46"/>
      <x:c r="O41" s="46"/>
      <x:c r="P41" s="46"/>
      <x:c r="Q41" s="38"/>
      <x:c r="R41" s="38"/>
      <x:c r="S41" s="38"/>
      <x:c r="T41" s="38"/>
      <x:c r="U41" s="38"/>
      <x:c r="V41" s="38"/>
    </x:row>
    <x:row r="42">
      <x:c r="A42" s="42"/>
      <x:c r="B42" s="38"/>
      <x:c r="C42" s="46"/>
      <x:c r="D42" s="38"/>
      <x:c r="E42" s="38"/>
      <x:c r="F42" s="46"/>
      <x:c r="G42" s="54"/>
      <x:c r="H42" s="38"/>
      <x:c r="I42" s="38"/>
      <x:c r="J42" s="54"/>
      <x:c r="K42" s="38"/>
      <x:c r="L42" s="58"/>
      <x:c r="M42" s="46"/>
      <x:c r="N42" s="46"/>
      <x:c r="O42" s="46"/>
      <x:c r="P42" s="46"/>
      <x:c r="Q42" s="38"/>
      <x:c r="R42" s="38"/>
      <x:c r="S42" s="38"/>
      <x:c r="T42" s="38"/>
      <x:c r="U42" s="38"/>
      <x:c r="V42" s="38"/>
    </x:row>
    <x:row r="43">
      <x:c r="A43" s="42"/>
      <x:c r="B43" s="38"/>
      <x:c r="C43" s="46"/>
      <x:c r="D43" s="38"/>
      <x:c r="E43" s="38"/>
      <x:c r="F43" s="46"/>
      <x:c r="G43" s="54"/>
      <x:c r="H43" s="38"/>
      <x:c r="I43" s="38"/>
      <x:c r="J43" s="54"/>
      <x:c r="K43" s="38"/>
      <x:c r="L43" s="58"/>
      <x:c r="M43" s="46"/>
      <x:c r="N43" s="46"/>
      <x:c r="O43" s="46"/>
      <x:c r="P43" s="46"/>
      <x:c r="Q43" s="38"/>
      <x:c r="R43" s="38"/>
      <x:c r="S43" s="38"/>
      <x:c r="T43" s="38"/>
      <x:c r="U43" s="38"/>
      <x:c r="V43" s="38"/>
    </x:row>
    <x:row r="44">
      <x:c r="A44" s="42"/>
      <x:c r="B44" s="38"/>
      <x:c r="C44" s="46"/>
      <x:c r="D44" s="38"/>
      <x:c r="E44" s="38"/>
      <x:c r="F44" s="46"/>
      <x:c r="G44" s="54"/>
      <x:c r="H44" s="38"/>
      <x:c r="I44" s="38"/>
      <x:c r="J44" s="54"/>
      <x:c r="K44" s="38"/>
      <x:c r="L44" s="58"/>
      <x:c r="M44" s="46"/>
      <x:c r="N44" s="46"/>
      <x:c r="O44" s="46"/>
      <x:c r="P44" s="46"/>
      <x:c r="Q44" s="38"/>
      <x:c r="R44" s="38"/>
      <x:c r="S44" s="38"/>
      <x:c r="T44" s="38"/>
      <x:c r="U44" s="38"/>
      <x:c r="V44" s="38"/>
    </x:row>
    <x:row r="45">
      <x:c r="A45" s="42"/>
      <x:c r="B45" s="38"/>
      <x:c r="C45" s="46"/>
      <x:c r="D45" s="38"/>
      <x:c r="E45" s="38"/>
      <x:c r="F45" s="46"/>
      <x:c r="G45" s="54"/>
      <x:c r="H45" s="38"/>
      <x:c r="I45" s="38"/>
      <x:c r="J45" s="54"/>
      <x:c r="K45" s="38"/>
      <x:c r="L45" s="58"/>
      <x:c r="M45" s="46"/>
      <x:c r="N45" s="46"/>
      <x:c r="O45" s="46"/>
      <x:c r="P45" s="46"/>
      <x:c r="Q45" s="38"/>
      <x:c r="R45" s="38"/>
      <x:c r="S45" s="38"/>
      <x:c r="T45" s="38"/>
      <x:c r="U45" s="38"/>
      <x:c r="V45" s="38"/>
    </x:row>
    <x:row r="46">
      <x:c r="A46" s="42"/>
      <x:c r="B46" s="38"/>
      <x:c r="C46" s="46"/>
      <x:c r="D46" s="38"/>
      <x:c r="E46" s="38"/>
      <x:c r="F46" s="46"/>
      <x:c r="G46" s="54"/>
      <x:c r="H46" s="38"/>
      <x:c r="I46" s="38"/>
      <x:c r="J46" s="54"/>
      <x:c r="K46" s="38"/>
      <x:c r="L46" s="58"/>
      <x:c r="M46" s="46"/>
      <x:c r="N46" s="46"/>
      <x:c r="O46" s="46"/>
      <x:c r="P46" s="46"/>
      <x:c r="Q46" s="38"/>
      <x:c r="R46" s="38"/>
      <x:c r="S46" s="38"/>
      <x:c r="T46" s="38"/>
      <x:c r="U46" s="38"/>
      <x:c r="V46" s="38"/>
    </x:row>
    <x:row r="47">
      <x:c r="A47" s="42"/>
      <x:c r="B47" s="38"/>
      <x:c r="C47" s="46"/>
      <x:c r="D47" s="38"/>
      <x:c r="E47" s="38"/>
      <x:c r="F47" s="46"/>
      <x:c r="G47" s="54"/>
      <x:c r="H47" s="38"/>
      <x:c r="I47" s="38"/>
      <x:c r="J47" s="54"/>
      <x:c r="K47" s="38"/>
      <x:c r="L47" s="58"/>
      <x:c r="M47" s="46"/>
      <x:c r="N47" s="46"/>
      <x:c r="O47" s="46"/>
      <x:c r="P47" s="46"/>
      <x:c r="Q47" s="38"/>
      <x:c r="R47" s="38"/>
      <x:c r="S47" s="38"/>
      <x:c r="T47" s="38"/>
      <x:c r="U47" s="38"/>
      <x:c r="V47" s="38"/>
    </x:row>
    <x:row r="48">
      <x:c r="A48" s="42"/>
      <x:c r="B48" s="38"/>
      <x:c r="C48" s="46"/>
      <x:c r="D48" s="38"/>
      <x:c r="E48" s="38"/>
      <x:c r="F48" s="46"/>
      <x:c r="G48" s="54"/>
      <x:c r="H48" s="38"/>
      <x:c r="I48" s="38"/>
      <x:c r="J48" s="54"/>
      <x:c r="K48" s="38"/>
      <x:c r="L48" s="58"/>
      <x:c r="M48" s="46"/>
      <x:c r="N48" s="46"/>
      <x:c r="O48" s="46"/>
      <x:c r="P48" s="46"/>
      <x:c r="Q48" s="38"/>
      <x:c r="R48" s="38"/>
      <x:c r="S48" s="38"/>
      <x:c r="T48" s="38"/>
      <x:c r="U48" s="38"/>
      <x:c r="V48" s="38"/>
    </x:row>
    <x:row r="49">
      <x:c r="A49" s="42"/>
      <x:c r="B49" s="38"/>
      <x:c r="C49" s="46"/>
      <x:c r="D49" s="38"/>
      <x:c r="E49" s="38"/>
      <x:c r="F49" s="46"/>
      <x:c r="G49" s="54"/>
      <x:c r="H49" s="38"/>
      <x:c r="I49" s="38"/>
      <x:c r="J49" s="54"/>
      <x:c r="K49" s="38"/>
      <x:c r="L49" s="58"/>
      <x:c r="M49" s="46"/>
      <x:c r="N49" s="46"/>
      <x:c r="O49" s="46"/>
      <x:c r="P49" s="46"/>
      <x:c r="Q49" s="38"/>
      <x:c r="R49" s="38"/>
      <x:c r="S49" s="38"/>
      <x:c r="T49" s="38"/>
      <x:c r="U49" s="38"/>
      <x:c r="V49" s="38"/>
    </x:row>
    <x:row r="50">
      <x:c r="A50" s="42"/>
      <x:c r="B50" s="38"/>
      <x:c r="C50" s="46"/>
      <x:c r="D50" s="38"/>
      <x:c r="E50" s="38"/>
      <x:c r="F50" s="46"/>
      <x:c r="G50" s="54"/>
      <x:c r="H50" s="38"/>
      <x:c r="I50" s="38"/>
      <x:c r="J50" s="54"/>
      <x:c r="K50" s="38"/>
      <x:c r="L50" s="58"/>
      <x:c r="M50" s="46"/>
      <x:c r="N50" s="46"/>
      <x:c r="O50" s="46"/>
      <x:c r="P50" s="46"/>
      <x:c r="Q50" s="38"/>
      <x:c r="R50" s="38"/>
      <x:c r="S50" s="38"/>
      <x:c r="T50" s="38"/>
      <x:c r="U50" s="38"/>
      <x:c r="V50" s="38"/>
    </x:row>
    <x:row r="51">
      <x:c r="A51" s="42"/>
      <x:c r="B51" s="38"/>
      <x:c r="C51" s="46"/>
      <x:c r="D51" s="38"/>
      <x:c r="E51" s="38"/>
      <x:c r="F51" s="46"/>
      <x:c r="G51" s="54"/>
      <x:c r="H51" s="38"/>
      <x:c r="I51" s="38"/>
      <x:c r="J51" s="54"/>
      <x:c r="K51" s="38"/>
      <x:c r="L51" s="58"/>
      <x:c r="M51" s="46"/>
      <x:c r="N51" s="46"/>
      <x:c r="O51" s="46"/>
      <x:c r="P51" s="46"/>
      <x:c r="Q51" s="38"/>
      <x:c r="R51" s="38"/>
      <x:c r="S51" s="38"/>
      <x:c r="T51" s="38"/>
      <x:c r="U51" s="38"/>
      <x:c r="V51" s="38"/>
    </x:row>
    <x:row r="52">
      <x:c r="A52" s="42"/>
      <x:c r="B52" s="38"/>
      <x:c r="C52" s="46"/>
      <x:c r="D52" s="38"/>
      <x:c r="E52" s="38"/>
      <x:c r="F52" s="46"/>
      <x:c r="G52" s="54"/>
      <x:c r="H52" s="38"/>
      <x:c r="I52" s="38"/>
      <x:c r="J52" s="54"/>
      <x:c r="K52" s="38"/>
      <x:c r="L52" s="58"/>
      <x:c r="M52" s="46"/>
      <x:c r="N52" s="46"/>
      <x:c r="O52" s="46"/>
      <x:c r="P52" s="46"/>
      <x:c r="Q52" s="38"/>
      <x:c r="R52" s="38"/>
      <x:c r="S52" s="38"/>
      <x:c r="T52" s="38"/>
      <x:c r="U52" s="38"/>
      <x:c r="V52" s="38"/>
    </x:row>
    <x:row r="53">
      <x:c r="A53" s="42"/>
      <x:c r="B53" s="38"/>
      <x:c r="C53" s="46"/>
      <x:c r="D53" s="38"/>
      <x:c r="E53" s="38"/>
      <x:c r="F53" s="46"/>
      <x:c r="G53" s="54"/>
      <x:c r="H53" s="38"/>
      <x:c r="I53" s="38"/>
      <x:c r="J53" s="54"/>
      <x:c r="K53" s="38"/>
      <x:c r="L53" s="58"/>
      <x:c r="M53" s="46"/>
      <x:c r="N53" s="46"/>
      <x:c r="O53" s="46"/>
      <x:c r="P53" s="46"/>
      <x:c r="Q53" s="38"/>
      <x:c r="R53" s="38"/>
      <x:c r="S53" s="38"/>
      <x:c r="T53" s="38"/>
      <x:c r="U53" s="38"/>
      <x:c r="V53" s="38"/>
    </x:row>
    <x:row r="54">
      <x:c r="A54" s="42"/>
      <x:c r="B54" s="38"/>
      <x:c r="C54" s="46"/>
      <x:c r="D54" s="38"/>
      <x:c r="E54" s="38"/>
      <x:c r="F54" s="46"/>
      <x:c r="G54" s="54"/>
      <x:c r="H54" s="38"/>
      <x:c r="I54" s="38"/>
      <x:c r="J54" s="54"/>
      <x:c r="K54" s="38"/>
      <x:c r="L54" s="58"/>
      <x:c r="M54" s="46"/>
      <x:c r="N54" s="46"/>
      <x:c r="O54" s="46"/>
      <x:c r="P54" s="46"/>
      <x:c r="Q54" s="38"/>
      <x:c r="R54" s="38"/>
      <x:c r="S54" s="38"/>
      <x:c r="T54" s="38"/>
      <x:c r="U54" s="38"/>
      <x:c r="V54" s="38"/>
    </x:row>
    <x:row r="55">
      <x:c r="A55" s="42"/>
      <x:c r="B55" s="38"/>
      <x:c r="C55" s="46"/>
      <x:c r="D55" s="38"/>
      <x:c r="E55" s="38"/>
      <x:c r="F55" s="46"/>
      <x:c r="G55" s="54"/>
      <x:c r="H55" s="38"/>
      <x:c r="I55" s="38"/>
      <x:c r="J55" s="54"/>
      <x:c r="K55" s="38"/>
      <x:c r="L55" s="58"/>
      <x:c r="M55" s="46"/>
      <x:c r="N55" s="46"/>
      <x:c r="O55" s="46"/>
      <x:c r="P55" s="46"/>
      <x:c r="Q55" s="38"/>
      <x:c r="R55" s="38"/>
      <x:c r="S55" s="38"/>
      <x:c r="T55" s="38"/>
      <x:c r="U55" s="38"/>
      <x:c r="V55" s="38"/>
    </x:row>
    <x:row r="56">
      <x:c r="A56" s="42"/>
      <x:c r="B56" s="38"/>
      <x:c r="C56" s="46"/>
      <x:c r="D56" s="38"/>
      <x:c r="E56" s="38"/>
      <x:c r="F56" s="46"/>
      <x:c r="G56" s="54"/>
      <x:c r="H56" s="38"/>
      <x:c r="I56" s="38"/>
      <x:c r="J56" s="54"/>
      <x:c r="K56" s="38"/>
      <x:c r="L56" s="58"/>
      <x:c r="M56" s="46"/>
      <x:c r="N56" s="46"/>
      <x:c r="O56" s="46"/>
      <x:c r="P56" s="46"/>
      <x:c r="Q56" s="38"/>
      <x:c r="R56" s="38"/>
      <x:c r="S56" s="38"/>
      <x:c r="T56" s="38"/>
      <x:c r="U56" s="38"/>
      <x:c r="V56" s="38"/>
    </x:row>
    <x:row r="57">
      <x:c r="A57" s="42"/>
      <x:c r="B57" s="38"/>
      <x:c r="C57" s="46"/>
      <x:c r="D57" s="38"/>
      <x:c r="E57" s="38"/>
      <x:c r="F57" s="46"/>
      <x:c r="G57" s="54"/>
      <x:c r="H57" s="38"/>
      <x:c r="I57" s="38"/>
      <x:c r="J57" s="54"/>
      <x:c r="K57" s="38"/>
      <x:c r="L57" s="58"/>
      <x:c r="M57" s="46"/>
      <x:c r="N57" s="46"/>
      <x:c r="O57" s="46"/>
      <x:c r="P57" s="46"/>
      <x:c r="Q57" s="38"/>
      <x:c r="R57" s="38"/>
      <x:c r="S57" s="38"/>
      <x:c r="T57" s="38"/>
      <x:c r="U57" s="38"/>
      <x:c r="V57" s="38"/>
    </x:row>
    <x:row r="58">
      <x:c r="A58" s="42"/>
      <x:c r="B58" s="38"/>
      <x:c r="C58" s="46"/>
      <x:c r="D58" s="38"/>
      <x:c r="E58" s="38"/>
      <x:c r="F58" s="46"/>
      <x:c r="G58" s="54"/>
      <x:c r="H58" s="38"/>
      <x:c r="I58" s="38"/>
      <x:c r="J58" s="54"/>
      <x:c r="K58" s="38"/>
      <x:c r="L58" s="58"/>
      <x:c r="M58" s="46"/>
      <x:c r="N58" s="46"/>
      <x:c r="O58" s="46"/>
      <x:c r="P58" s="46"/>
      <x:c r="Q58" s="38"/>
      <x:c r="R58" s="38"/>
      <x:c r="S58" s="38"/>
      <x:c r="T58" s="38"/>
      <x:c r="U58" s="38"/>
      <x:c r="V58" s="38"/>
    </x:row>
    <x:row r="59">
      <x:c r="A59" s="42"/>
      <x:c r="B59" s="38"/>
      <x:c r="C59" s="46"/>
      <x:c r="D59" s="38"/>
      <x:c r="E59" s="38"/>
      <x:c r="F59" s="46"/>
      <x:c r="G59" s="54"/>
      <x:c r="H59" s="38"/>
      <x:c r="I59" s="38"/>
      <x:c r="J59" s="54"/>
      <x:c r="K59" s="38"/>
      <x:c r="L59" s="58"/>
      <x:c r="M59" s="46"/>
      <x:c r="N59" s="46"/>
      <x:c r="O59" s="46"/>
      <x:c r="P59" s="46"/>
      <x:c r="Q59" s="38"/>
      <x:c r="R59" s="38"/>
      <x:c r="S59" s="38"/>
      <x:c r="T59" s="38"/>
      <x:c r="U59" s="38"/>
      <x:c r="V59" s="38"/>
    </x:row>
    <x:row r="60">
      <x:c r="A60" s="42"/>
      <x:c r="B60" s="38"/>
      <x:c r="C60" s="46"/>
      <x:c r="D60" s="38"/>
      <x:c r="E60" s="38"/>
      <x:c r="F60" s="46"/>
      <x:c r="G60" s="54"/>
      <x:c r="H60" s="38"/>
      <x:c r="I60" s="38"/>
      <x:c r="J60" s="54"/>
      <x:c r="K60" s="38"/>
      <x:c r="L60" s="58"/>
      <x:c r="M60" s="46"/>
      <x:c r="N60" s="46"/>
      <x:c r="O60" s="46"/>
      <x:c r="P60" s="46"/>
      <x:c r="Q60" s="38"/>
      <x:c r="R60" s="38"/>
      <x:c r="S60" s="38"/>
      <x:c r="T60" s="38"/>
      <x:c r="U60" s="38"/>
      <x:c r="V60" s="38"/>
    </x:row>
    <x:row r="61">
      <x:c r="A61" s="42"/>
      <x:c r="B61" s="38"/>
      <x:c r="C61" s="46"/>
      <x:c r="D61" s="38"/>
      <x:c r="E61" s="38"/>
      <x:c r="F61" s="46"/>
      <x:c r="G61" s="54"/>
      <x:c r="H61" s="38"/>
      <x:c r="I61" s="38"/>
      <x:c r="J61" s="54"/>
      <x:c r="K61" s="38"/>
      <x:c r="L61" s="58"/>
      <x:c r="M61" s="46"/>
      <x:c r="N61" s="46"/>
      <x:c r="O61" s="46"/>
      <x:c r="P61" s="46"/>
      <x:c r="Q61" s="38"/>
      <x:c r="R61" s="38"/>
      <x:c r="S61" s="38"/>
      <x:c r="T61" s="38"/>
      <x:c r="U61" s="38"/>
      <x:c r="V61" s="38"/>
    </x:row>
    <x:row r="62">
      <x:c r="A62" s="42"/>
      <x:c r="B62" s="38"/>
      <x:c r="C62" s="46"/>
      <x:c r="D62" s="38"/>
      <x:c r="E62" s="38"/>
      <x:c r="F62" s="46"/>
      <x:c r="G62" s="54"/>
      <x:c r="H62" s="38"/>
      <x:c r="I62" s="38"/>
      <x:c r="J62" s="54"/>
      <x:c r="K62" s="38"/>
      <x:c r="L62" s="58"/>
      <x:c r="M62" s="46"/>
      <x:c r="N62" s="46"/>
      <x:c r="O62" s="46"/>
      <x:c r="P62" s="46"/>
      <x:c r="Q62" s="38"/>
      <x:c r="R62" s="38"/>
      <x:c r="S62" s="38"/>
      <x:c r="T62" s="38"/>
      <x:c r="U62" s="38"/>
      <x:c r="V62" s="38"/>
    </x:row>
    <x:row r="63">
      <x:c r="A63" s="42"/>
      <x:c r="B63" s="38"/>
      <x:c r="C63" s="46"/>
      <x:c r="D63" s="38"/>
      <x:c r="E63" s="38"/>
      <x:c r="F63" s="46"/>
      <x:c r="G63" s="54"/>
      <x:c r="H63" s="38"/>
      <x:c r="I63" s="38"/>
      <x:c r="J63" s="54"/>
      <x:c r="K63" s="38"/>
      <x:c r="L63" s="58"/>
      <x:c r="M63" s="46"/>
      <x:c r="N63" s="46"/>
      <x:c r="O63" s="46"/>
      <x:c r="P63" s="46"/>
      <x:c r="Q63" s="38"/>
      <x:c r="R63" s="38"/>
      <x:c r="S63" s="38"/>
      <x:c r="T63" s="38"/>
      <x:c r="U63" s="38"/>
      <x:c r="V63" s="38"/>
    </x:row>
    <x:row r="64">
      <x:c r="A64" s="42"/>
      <x:c r="B64" s="38"/>
      <x:c r="C64" s="46"/>
      <x:c r="D64" s="38"/>
      <x:c r="E64" s="38"/>
      <x:c r="F64" s="46"/>
      <x:c r="G64" s="54"/>
      <x:c r="H64" s="38"/>
      <x:c r="I64" s="38"/>
      <x:c r="J64" s="54"/>
      <x:c r="K64" s="38"/>
      <x:c r="L64" s="58"/>
      <x:c r="M64" s="46"/>
      <x:c r="N64" s="46"/>
      <x:c r="O64" s="46"/>
      <x:c r="P64" s="46"/>
      <x:c r="Q64" s="38"/>
      <x:c r="R64" s="38"/>
      <x:c r="S64" s="38"/>
      <x:c r="T64" s="38"/>
      <x:c r="U64" s="38"/>
      <x:c r="V64" s="38"/>
    </x:row>
    <x:row r="65">
      <x:c r="A65" s="42"/>
      <x:c r="B65" s="38"/>
      <x:c r="C65" s="46"/>
      <x:c r="D65" s="38"/>
      <x:c r="E65" s="38"/>
      <x:c r="F65" s="46"/>
      <x:c r="G65" s="54"/>
      <x:c r="H65" s="38"/>
      <x:c r="I65" s="38"/>
      <x:c r="J65" s="54"/>
      <x:c r="K65" s="38"/>
      <x:c r="L65" s="58"/>
      <x:c r="M65" s="46"/>
      <x:c r="N65" s="46"/>
      <x:c r="O65" s="46"/>
      <x:c r="P65" s="46"/>
      <x:c r="Q65" s="38"/>
      <x:c r="R65" s="38"/>
      <x:c r="S65" s="38"/>
      <x:c r="T65" s="38"/>
      <x:c r="U65" s="38"/>
      <x:c r="V65" s="38"/>
    </x:row>
    <x:row r="66">
      <x:c r="A66" s="42"/>
      <x:c r="B66" s="38"/>
      <x:c r="C66" s="46"/>
      <x:c r="D66" s="38"/>
      <x:c r="E66" s="38"/>
      <x:c r="F66" s="46"/>
      <x:c r="G66" s="54"/>
      <x:c r="H66" s="38"/>
      <x:c r="I66" s="38"/>
      <x:c r="J66" s="54"/>
      <x:c r="K66" s="38"/>
      <x:c r="L66" s="58"/>
      <x:c r="M66" s="46"/>
      <x:c r="N66" s="46"/>
      <x:c r="O66" s="46"/>
      <x:c r="P66" s="46"/>
      <x:c r="Q66" s="38"/>
      <x:c r="R66" s="38"/>
      <x:c r="S66" s="38"/>
      <x:c r="T66" s="38"/>
      <x:c r="U66" s="38"/>
      <x:c r="V66" s="38"/>
    </x:row>
    <x:row r="67">
      <x:c r="A67" s="42"/>
      <x:c r="B67" s="38"/>
      <x:c r="C67" s="46"/>
      <x:c r="D67" s="38"/>
      <x:c r="E67" s="38"/>
      <x:c r="F67" s="46"/>
      <x:c r="G67" s="54"/>
      <x:c r="H67" s="38"/>
      <x:c r="I67" s="38"/>
      <x:c r="J67" s="54"/>
      <x:c r="K67" s="38"/>
      <x:c r="L67" s="58"/>
      <x:c r="M67" s="46"/>
      <x:c r="N67" s="46"/>
      <x:c r="O67" s="46"/>
      <x:c r="P67" s="46"/>
      <x:c r="Q67" s="38"/>
      <x:c r="R67" s="38"/>
      <x:c r="S67" s="38"/>
      <x:c r="T67" s="38"/>
      <x:c r="U67" s="38"/>
      <x:c r="V67" s="38"/>
    </x:row>
    <x:row r="68">
      <x:c r="A68" s="42"/>
      <x:c r="B68" s="38"/>
      <x:c r="C68" s="46"/>
      <x:c r="D68" s="38"/>
      <x:c r="E68" s="38"/>
      <x:c r="F68" s="46"/>
      <x:c r="G68" s="54"/>
      <x:c r="H68" s="38"/>
      <x:c r="I68" s="38"/>
      <x:c r="J68" s="54"/>
      <x:c r="K68" s="38"/>
      <x:c r="L68" s="58"/>
      <x:c r="M68" s="46"/>
      <x:c r="N68" s="46"/>
      <x:c r="O68" s="46"/>
      <x:c r="P68" s="46"/>
      <x:c r="Q68" s="38"/>
      <x:c r="R68" s="38"/>
      <x:c r="S68" s="38"/>
      <x:c r="T68" s="38"/>
      <x:c r="U68" s="38"/>
      <x:c r="V68" s="38"/>
    </x:row>
    <x:row r="69">
      <x:c r="A69" s="42"/>
      <x:c r="B69" s="38"/>
      <x:c r="C69" s="46"/>
      <x:c r="D69" s="38"/>
      <x:c r="E69" s="38"/>
      <x:c r="F69" s="46"/>
      <x:c r="G69" s="54"/>
      <x:c r="H69" s="38"/>
      <x:c r="I69" s="38"/>
      <x:c r="J69" s="54"/>
      <x:c r="K69" s="38"/>
      <x:c r="L69" s="58"/>
      <x:c r="M69" s="46"/>
      <x:c r="N69" s="46"/>
      <x:c r="O69" s="46"/>
      <x:c r="P69" s="46"/>
      <x:c r="Q69" s="38"/>
      <x:c r="R69" s="38"/>
      <x:c r="S69" s="38"/>
      <x:c r="T69" s="38"/>
      <x:c r="U69" s="38"/>
      <x:c r="V69" s="38"/>
    </x:row>
    <x:row r="70">
      <x:c r="A70" s="42"/>
      <x:c r="B70" s="38"/>
      <x:c r="C70" s="46"/>
      <x:c r="D70" s="38"/>
      <x:c r="E70" s="38"/>
      <x:c r="F70" s="46"/>
      <x:c r="G70" s="54"/>
      <x:c r="H70" s="38"/>
      <x:c r="I70" s="38"/>
      <x:c r="J70" s="54"/>
      <x:c r="K70" s="38"/>
      <x:c r="L70" s="58"/>
      <x:c r="M70" s="46"/>
      <x:c r="N70" s="46"/>
      <x:c r="O70" s="46"/>
      <x:c r="P70" s="46"/>
      <x:c r="Q70" s="38"/>
      <x:c r="R70" s="38"/>
      <x:c r="S70" s="38"/>
      <x:c r="T70" s="38"/>
      <x:c r="U70" s="38"/>
      <x:c r="V70" s="38"/>
    </x:row>
    <x:row r="71">
      <x:c r="A71" s="42"/>
      <x:c r="B71" s="38"/>
      <x:c r="C71" s="46"/>
      <x:c r="D71" s="38"/>
      <x:c r="E71" s="38"/>
      <x:c r="F71" s="46"/>
      <x:c r="G71" s="54"/>
      <x:c r="H71" s="38"/>
      <x:c r="I71" s="38"/>
      <x:c r="J71" s="54"/>
      <x:c r="K71" s="38"/>
      <x:c r="L71" s="58"/>
      <x:c r="M71" s="46"/>
      <x:c r="N71" s="46"/>
      <x:c r="O71" s="46"/>
      <x:c r="P71" s="46"/>
      <x:c r="Q71" s="38"/>
      <x:c r="R71" s="38"/>
      <x:c r="S71" s="38"/>
      <x:c r="T71" s="38"/>
      <x:c r="U71" s="38"/>
      <x:c r="V71" s="38"/>
    </x:row>
    <x:row r="72">
      <x:c r="A72" s="42"/>
      <x:c r="B72" s="38"/>
      <x:c r="C72" s="46"/>
      <x:c r="D72" s="38"/>
      <x:c r="E72" s="38"/>
      <x:c r="F72" s="46"/>
      <x:c r="G72" s="54"/>
      <x:c r="H72" s="38"/>
      <x:c r="I72" s="38"/>
      <x:c r="J72" s="54"/>
      <x:c r="K72" s="38"/>
      <x:c r="L72" s="58"/>
      <x:c r="M72" s="46"/>
      <x:c r="N72" s="46"/>
      <x:c r="O72" s="46"/>
      <x:c r="P72" s="46"/>
      <x:c r="Q72" s="38"/>
      <x:c r="R72" s="38"/>
      <x:c r="S72" s="38"/>
      <x:c r="T72" s="38"/>
      <x:c r="U72" s="38"/>
      <x:c r="V72" s="38"/>
    </x:row>
    <x:row r="73">
      <x:c r="A73" s="42"/>
      <x:c r="B73" s="38"/>
      <x:c r="C73" s="46"/>
      <x:c r="D73" s="38"/>
      <x:c r="E73" s="38"/>
      <x:c r="F73" s="46"/>
      <x:c r="G73" s="54"/>
      <x:c r="H73" s="38"/>
      <x:c r="I73" s="38"/>
      <x:c r="J73" s="54"/>
      <x:c r="K73" s="38"/>
      <x:c r="L73" s="58"/>
      <x:c r="M73" s="46"/>
      <x:c r="N73" s="46"/>
      <x:c r="O73" s="46"/>
      <x:c r="P73" s="46"/>
      <x:c r="Q73" s="38"/>
      <x:c r="R73" s="38"/>
      <x:c r="S73" s="38"/>
      <x:c r="T73" s="38"/>
      <x:c r="U73" s="38"/>
      <x:c r="V73" s="38"/>
    </x:row>
    <x:row r="74">
      <x:c r="A74" s="42"/>
      <x:c r="B74" s="38"/>
      <x:c r="C74" s="46"/>
      <x:c r="D74" s="38"/>
      <x:c r="E74" s="38"/>
      <x:c r="F74" s="46"/>
      <x:c r="G74" s="54"/>
      <x:c r="H74" s="38"/>
      <x:c r="I74" s="38"/>
      <x:c r="J74" s="54"/>
      <x:c r="K74" s="38"/>
      <x:c r="L74" s="58"/>
      <x:c r="M74" s="46"/>
      <x:c r="N74" s="46"/>
      <x:c r="O74" s="46"/>
      <x:c r="P74" s="46"/>
      <x:c r="Q74" s="38"/>
      <x:c r="R74" s="38"/>
      <x:c r="S74" s="38"/>
      <x:c r="T74" s="38"/>
      <x:c r="U74" s="38"/>
      <x:c r="V74" s="38"/>
    </x:row>
    <x:row r="75">
      <x:c r="A75" s="42"/>
      <x:c r="B75" s="38"/>
      <x:c r="C75" s="46"/>
      <x:c r="D75" s="38"/>
      <x:c r="E75" s="38"/>
      <x:c r="F75" s="46"/>
      <x:c r="G75" s="54"/>
      <x:c r="H75" s="38"/>
      <x:c r="I75" s="38"/>
      <x:c r="J75" s="54"/>
      <x:c r="K75" s="38"/>
      <x:c r="L75" s="58"/>
      <x:c r="M75" s="46"/>
      <x:c r="N75" s="46"/>
      <x:c r="O75" s="46"/>
      <x:c r="P75" s="46"/>
      <x:c r="Q75" s="38"/>
      <x:c r="R75" s="38"/>
      <x:c r="S75" s="38"/>
      <x:c r="T75" s="38"/>
      <x:c r="U75" s="38"/>
      <x:c r="V75" s="38"/>
    </x:row>
    <x:row r="76">
      <x:c r="A76" s="42"/>
      <x:c r="B76" s="38"/>
      <x:c r="C76" s="46"/>
      <x:c r="D76" s="38"/>
      <x:c r="E76" s="38"/>
      <x:c r="F76" s="46"/>
      <x:c r="G76" s="54"/>
      <x:c r="H76" s="38"/>
      <x:c r="I76" s="38"/>
      <x:c r="J76" s="54"/>
      <x:c r="K76" s="38"/>
      <x:c r="L76" s="58"/>
      <x:c r="M76" s="46"/>
      <x:c r="N76" s="46"/>
      <x:c r="O76" s="46"/>
      <x:c r="P76" s="46"/>
      <x:c r="Q76" s="38"/>
      <x:c r="R76" s="38"/>
      <x:c r="S76" s="38"/>
      <x:c r="T76" s="38"/>
      <x:c r="U76" s="38"/>
      <x:c r="V76" s="38"/>
    </x:row>
    <x:row r="77">
      <x:c r="A77" s="42"/>
      <x:c r="B77" s="38"/>
      <x:c r="C77" s="46"/>
      <x:c r="D77" s="38"/>
      <x:c r="E77" s="38"/>
      <x:c r="F77" s="46"/>
      <x:c r="G77" s="54"/>
      <x:c r="H77" s="38"/>
      <x:c r="I77" s="38"/>
      <x:c r="J77" s="54"/>
      <x:c r="K77" s="38"/>
      <x:c r="L77" s="58"/>
      <x:c r="M77" s="46"/>
      <x:c r="N77" s="46"/>
      <x:c r="O77" s="46"/>
      <x:c r="P77" s="46"/>
      <x:c r="Q77" s="38"/>
      <x:c r="R77" s="38"/>
      <x:c r="S77" s="38"/>
      <x:c r="T77" s="38"/>
      <x:c r="U77" s="38"/>
      <x:c r="V77" s="38"/>
    </x:row>
    <x:row r="78">
      <x:c r="A78" s="42"/>
      <x:c r="B78" s="38"/>
      <x:c r="C78" s="46"/>
      <x:c r="D78" s="38"/>
      <x:c r="E78" s="38"/>
      <x:c r="F78" s="46"/>
      <x:c r="G78" s="54"/>
      <x:c r="H78" s="38"/>
      <x:c r="I78" s="38"/>
      <x:c r="J78" s="54"/>
      <x:c r="K78" s="38"/>
      <x:c r="L78" s="58"/>
      <x:c r="M78" s="46"/>
      <x:c r="N78" s="46"/>
      <x:c r="O78" s="46"/>
      <x:c r="P78" s="46"/>
      <x:c r="Q78" s="38"/>
      <x:c r="R78" s="38"/>
      <x:c r="S78" s="38"/>
      <x:c r="T78" s="38"/>
      <x:c r="U78" s="38"/>
      <x:c r="V78" s="38"/>
    </x:row>
    <x:row r="79">
      <x:c r="A79" s="42"/>
      <x:c r="B79" s="38"/>
      <x:c r="C79" s="46"/>
      <x:c r="D79" s="38"/>
      <x:c r="E79" s="38"/>
      <x:c r="F79" s="46"/>
      <x:c r="G79" s="54"/>
      <x:c r="H79" s="38"/>
      <x:c r="I79" s="38"/>
      <x:c r="J79" s="54"/>
      <x:c r="K79" s="38"/>
      <x:c r="L79" s="58"/>
      <x:c r="M79" s="46"/>
      <x:c r="N79" s="46"/>
      <x:c r="O79" s="46"/>
      <x:c r="P79" s="46"/>
      <x:c r="Q79" s="38"/>
      <x:c r="R79" s="38"/>
      <x:c r="S79" s="38"/>
      <x:c r="T79" s="38"/>
      <x:c r="U79" s="38"/>
      <x:c r="V79" s="38"/>
    </x:row>
    <x:row r="80">
      <x:c r="A80" s="42"/>
      <x:c r="B80" s="38"/>
      <x:c r="C80" s="46"/>
      <x:c r="D80" s="38"/>
      <x:c r="E80" s="38"/>
      <x:c r="F80" s="46"/>
      <x:c r="G80" s="54"/>
      <x:c r="H80" s="38"/>
      <x:c r="I80" s="38"/>
      <x:c r="J80" s="54"/>
      <x:c r="K80" s="38"/>
      <x:c r="L80" s="58"/>
      <x:c r="M80" s="46"/>
      <x:c r="N80" s="46"/>
      <x:c r="O80" s="46"/>
      <x:c r="P80" s="46"/>
      <x:c r="Q80" s="38"/>
      <x:c r="R80" s="38"/>
      <x:c r="S80" s="38"/>
      <x:c r="T80" s="38"/>
      <x:c r="U80" s="38"/>
      <x:c r="V80" s="38"/>
    </x:row>
    <x:row r="81">
      <x:c r="A81" s="42"/>
      <x:c r="B81" s="38"/>
      <x:c r="C81" s="46"/>
      <x:c r="D81" s="38"/>
      <x:c r="E81" s="38"/>
      <x:c r="F81" s="46"/>
      <x:c r="G81" s="54"/>
      <x:c r="H81" s="38"/>
      <x:c r="I81" s="38"/>
      <x:c r="J81" s="54"/>
      <x:c r="K81" s="38"/>
      <x:c r="L81" s="58"/>
      <x:c r="M81" s="46"/>
      <x:c r="N81" s="46"/>
      <x:c r="O81" s="46"/>
      <x:c r="P81" s="46"/>
      <x:c r="Q81" s="38"/>
      <x:c r="R81" s="38"/>
      <x:c r="S81" s="38"/>
      <x:c r="T81" s="38"/>
      <x:c r="U81" s="38"/>
      <x:c r="V81" s="38"/>
    </x:row>
    <x:row r="82">
      <x:c r="A82" s="42"/>
      <x:c r="B82" s="38"/>
      <x:c r="C82" s="46"/>
      <x:c r="D82" s="38"/>
      <x:c r="E82" s="38"/>
      <x:c r="F82" s="46"/>
      <x:c r="G82" s="54"/>
      <x:c r="H82" s="38"/>
      <x:c r="I82" s="38"/>
      <x:c r="J82" s="54"/>
      <x:c r="K82" s="38"/>
      <x:c r="L82" s="58"/>
      <x:c r="M82" s="46"/>
      <x:c r="N82" s="46"/>
      <x:c r="O82" s="46"/>
      <x:c r="P82" s="46"/>
      <x:c r="Q82" s="38"/>
      <x:c r="R82" s="38"/>
      <x:c r="S82" s="38"/>
      <x:c r="T82" s="38"/>
      <x:c r="U82" s="38"/>
      <x:c r="V82" s="38"/>
    </x:row>
    <x:row r="83">
      <x:c r="A83" s="42"/>
      <x:c r="B83" s="38"/>
      <x:c r="C83" s="46"/>
      <x:c r="D83" s="38"/>
      <x:c r="E83" s="38"/>
      <x:c r="F83" s="46"/>
      <x:c r="G83" s="54"/>
      <x:c r="H83" s="38"/>
      <x:c r="I83" s="38"/>
      <x:c r="J83" s="54"/>
      <x:c r="K83" s="38"/>
      <x:c r="L83" s="58"/>
      <x:c r="M83" s="46"/>
      <x:c r="N83" s="46"/>
      <x:c r="O83" s="46"/>
      <x:c r="P83" s="46"/>
      <x:c r="Q83" s="38"/>
      <x:c r="R83" s="38"/>
      <x:c r="S83" s="38"/>
      <x:c r="T83" s="38"/>
      <x:c r="U83" s="38"/>
      <x:c r="V83" s="38"/>
    </x:row>
    <x:row r="84">
      <x:c r="A84" s="42"/>
      <x:c r="B84" s="38"/>
      <x:c r="C84" s="46"/>
      <x:c r="D84" s="38"/>
      <x:c r="E84" s="38"/>
      <x:c r="F84" s="46"/>
      <x:c r="G84" s="54"/>
      <x:c r="H84" s="38"/>
      <x:c r="I84" s="38"/>
      <x:c r="J84" s="54"/>
      <x:c r="K84" s="38"/>
      <x:c r="L84" s="58"/>
      <x:c r="M84" s="46"/>
      <x:c r="N84" s="46"/>
      <x:c r="O84" s="46"/>
      <x:c r="P84" s="46"/>
      <x:c r="Q84" s="38"/>
      <x:c r="R84" s="38"/>
      <x:c r="S84" s="38"/>
      <x:c r="T84" s="38"/>
      <x:c r="U84" s="38"/>
      <x:c r="V84" s="38"/>
    </x:row>
    <x:row r="85">
      <x:c r="A85" s="42"/>
      <x:c r="B85" s="38"/>
      <x:c r="C85" s="46"/>
      <x:c r="D85" s="38"/>
      <x:c r="E85" s="38"/>
      <x:c r="F85" s="46"/>
      <x:c r="G85" s="54"/>
      <x:c r="H85" s="38"/>
      <x:c r="I85" s="38"/>
      <x:c r="J85" s="54"/>
      <x:c r="K85" s="38"/>
      <x:c r="L85" s="58"/>
      <x:c r="M85" s="46"/>
      <x:c r="N85" s="46"/>
      <x:c r="O85" s="46"/>
      <x:c r="P85" s="46"/>
      <x:c r="Q85" s="38"/>
      <x:c r="R85" s="38"/>
      <x:c r="S85" s="38"/>
      <x:c r="T85" s="38"/>
      <x:c r="U85" s="38"/>
      <x:c r="V85" s="38"/>
    </x:row>
    <x:row r="86">
      <x:c r="A86" s="42"/>
      <x:c r="B86" s="38"/>
      <x:c r="C86" s="46"/>
      <x:c r="D86" s="38"/>
      <x:c r="E86" s="38"/>
      <x:c r="F86" s="46"/>
      <x:c r="G86" s="54"/>
      <x:c r="H86" s="38"/>
      <x:c r="I86" s="38"/>
      <x:c r="J86" s="54"/>
      <x:c r="K86" s="38"/>
      <x:c r="L86" s="58"/>
      <x:c r="M86" s="46"/>
      <x:c r="N86" s="46"/>
      <x:c r="O86" s="46"/>
      <x:c r="P86" s="46"/>
      <x:c r="Q86" s="38"/>
      <x:c r="R86" s="38"/>
      <x:c r="S86" s="38"/>
      <x:c r="T86" s="38"/>
      <x:c r="U86" s="38"/>
      <x:c r="V86" s="38"/>
    </x:row>
    <x:row r="87">
      <x:c r="A87" s="42"/>
      <x:c r="B87" s="38"/>
      <x:c r="C87" s="46"/>
      <x:c r="D87" s="38"/>
      <x:c r="E87" s="38"/>
      <x:c r="F87" s="46"/>
      <x:c r="G87" s="54"/>
      <x:c r="H87" s="38"/>
      <x:c r="I87" s="38"/>
      <x:c r="J87" s="54"/>
      <x:c r="K87" s="38"/>
      <x:c r="L87" s="58"/>
      <x:c r="M87" s="46"/>
      <x:c r="N87" s="46"/>
      <x:c r="O87" s="46"/>
      <x:c r="P87" s="46"/>
      <x:c r="Q87" s="38"/>
      <x:c r="R87" s="38"/>
      <x:c r="S87" s="38"/>
      <x:c r="T87" s="38"/>
      <x:c r="U87" s="38"/>
      <x:c r="V87" s="38"/>
    </x:row>
    <x:row r="88">
      <x:c r="A88" s="42"/>
      <x:c r="B88" s="38"/>
      <x:c r="C88" s="46"/>
      <x:c r="D88" s="38"/>
      <x:c r="E88" s="38"/>
      <x:c r="F88" s="46"/>
      <x:c r="G88" s="54"/>
      <x:c r="H88" s="38"/>
      <x:c r="I88" s="38"/>
      <x:c r="J88" s="54"/>
      <x:c r="K88" s="38"/>
      <x:c r="L88" s="58"/>
      <x:c r="M88" s="46"/>
      <x:c r="N88" s="46"/>
      <x:c r="O88" s="46"/>
      <x:c r="P88" s="46"/>
      <x:c r="Q88" s="38"/>
      <x:c r="R88" s="38"/>
      <x:c r="S88" s="38"/>
      <x:c r="T88" s="38"/>
      <x:c r="U88" s="38"/>
      <x:c r="V88" s="38"/>
    </x:row>
    <x:row r="89">
      <x:c r="A89" s="42"/>
      <x:c r="B89" s="38"/>
      <x:c r="C89" s="46"/>
      <x:c r="D89" s="38"/>
      <x:c r="E89" s="38"/>
      <x:c r="F89" s="46"/>
      <x:c r="G89" s="54"/>
      <x:c r="H89" s="38"/>
      <x:c r="I89" s="38"/>
      <x:c r="J89" s="54"/>
      <x:c r="K89" s="38"/>
      <x:c r="L89" s="58"/>
      <x:c r="M89" s="46"/>
      <x:c r="N89" s="46"/>
      <x:c r="O89" s="46"/>
      <x:c r="P89" s="46"/>
      <x:c r="Q89" s="38"/>
      <x:c r="R89" s="38"/>
      <x:c r="S89" s="38"/>
      <x:c r="T89" s="38"/>
      <x:c r="U89" s="38"/>
      <x:c r="V89" s="38"/>
    </x:row>
    <x:row r="90">
      <x:c r="A90" s="42"/>
      <x:c r="B90" s="38"/>
      <x:c r="C90" s="46"/>
      <x:c r="D90" s="38"/>
      <x:c r="E90" s="38"/>
      <x:c r="F90" s="46"/>
      <x:c r="G90" s="54"/>
      <x:c r="H90" s="38"/>
      <x:c r="I90" s="38"/>
      <x:c r="J90" s="54"/>
      <x:c r="K90" s="38"/>
      <x:c r="L90" s="58"/>
      <x:c r="M90" s="46"/>
      <x:c r="N90" s="46"/>
      <x:c r="O90" s="46"/>
      <x:c r="P90" s="46"/>
      <x:c r="Q90" s="38"/>
      <x:c r="R90" s="38"/>
      <x:c r="S90" s="38"/>
      <x:c r="T90" s="38"/>
      <x:c r="U90" s="38"/>
      <x:c r="V90" s="38"/>
    </x:row>
    <x:row r="91">
      <x:c r="A91" s="42"/>
      <x:c r="B91" s="38"/>
      <x:c r="C91" s="46"/>
      <x:c r="D91" s="38"/>
      <x:c r="E91" s="38"/>
      <x:c r="F91" s="46"/>
      <x:c r="G91" s="54"/>
      <x:c r="H91" s="38"/>
      <x:c r="I91" s="38"/>
      <x:c r="J91" s="54"/>
      <x:c r="K91" s="38"/>
      <x:c r="L91" s="58"/>
      <x:c r="M91" s="46"/>
      <x:c r="N91" s="46"/>
      <x:c r="O91" s="46"/>
      <x:c r="P91" s="46"/>
      <x:c r="Q91" s="38"/>
      <x:c r="R91" s="38"/>
      <x:c r="S91" s="38"/>
      <x:c r="T91" s="38"/>
      <x:c r="U91" s="38"/>
      <x:c r="V91" s="38"/>
    </x:row>
    <x:row r="92">
      <x:c r="A92" s="42"/>
      <x:c r="B92" s="38"/>
      <x:c r="C92" s="46"/>
      <x:c r="D92" s="38"/>
      <x:c r="E92" s="38"/>
      <x:c r="F92" s="46"/>
      <x:c r="G92" s="54"/>
      <x:c r="H92" s="38"/>
      <x:c r="I92" s="38"/>
      <x:c r="J92" s="54"/>
      <x:c r="K92" s="38"/>
      <x:c r="L92" s="58"/>
      <x:c r="M92" s="46"/>
      <x:c r="N92" s="46"/>
      <x:c r="O92" s="46"/>
      <x:c r="P92" s="46"/>
      <x:c r="Q92" s="38"/>
      <x:c r="R92" s="38"/>
      <x:c r="S92" s="38"/>
      <x:c r="T92" s="38"/>
      <x:c r="U92" s="38"/>
      <x:c r="V92" s="38"/>
    </x:row>
    <x:row r="93">
      <x:c r="A93" s="42"/>
      <x:c r="B93" s="38"/>
      <x:c r="C93" s="46"/>
      <x:c r="D93" s="38"/>
      <x:c r="E93" s="38"/>
      <x:c r="F93" s="46"/>
      <x:c r="G93" s="54"/>
      <x:c r="H93" s="38"/>
      <x:c r="I93" s="38"/>
      <x:c r="J93" s="54"/>
      <x:c r="K93" s="38"/>
      <x:c r="L93" s="58"/>
      <x:c r="M93" s="46"/>
      <x:c r="N93" s="46"/>
      <x:c r="O93" s="46"/>
      <x:c r="P93" s="46"/>
      <x:c r="Q93" s="38"/>
      <x:c r="R93" s="38"/>
      <x:c r="S93" s="38"/>
      <x:c r="T93" s="38"/>
      <x:c r="U93" s="38"/>
      <x:c r="V93" s="38"/>
    </x:row>
    <x:row r="94">
      <x:c r="A94" s="42"/>
      <x:c r="B94" s="38"/>
      <x:c r="C94" s="46"/>
      <x:c r="D94" s="38"/>
      <x:c r="E94" s="38"/>
      <x:c r="F94" s="46"/>
      <x:c r="G94" s="54"/>
      <x:c r="H94" s="38"/>
      <x:c r="I94" s="38"/>
      <x:c r="J94" s="54"/>
      <x:c r="K94" s="38"/>
      <x:c r="L94" s="58"/>
      <x:c r="M94" s="46"/>
      <x:c r="N94" s="46"/>
      <x:c r="O94" s="46"/>
      <x:c r="P94" s="46"/>
      <x:c r="Q94" s="38"/>
      <x:c r="R94" s="38"/>
      <x:c r="S94" s="38"/>
      <x:c r="T94" s="38"/>
      <x:c r="U94" s="38"/>
      <x:c r="V94" s="38"/>
    </x:row>
    <x:row r="95">
      <x:c r="A95" s="42"/>
      <x:c r="B95" s="38"/>
      <x:c r="C95" s="46"/>
      <x:c r="D95" s="38"/>
      <x:c r="E95" s="38"/>
      <x:c r="F95" s="46"/>
      <x:c r="G95" s="54"/>
      <x:c r="H95" s="38"/>
      <x:c r="I95" s="38"/>
      <x:c r="J95" s="54"/>
      <x:c r="K95" s="38"/>
      <x:c r="L95" s="58"/>
      <x:c r="M95" s="46"/>
      <x:c r="N95" s="46"/>
      <x:c r="O95" s="46"/>
      <x:c r="P95" s="46"/>
      <x:c r="Q95" s="38"/>
      <x:c r="R95" s="38"/>
      <x:c r="S95" s="38"/>
      <x:c r="T95" s="38"/>
      <x:c r="U95" s="38"/>
      <x:c r="V95" s="38"/>
    </x:row>
    <x:row r="96">
      <x:c r="A96" s="42"/>
      <x:c r="B96" s="38"/>
      <x:c r="C96" s="46"/>
      <x:c r="D96" s="38"/>
      <x:c r="E96" s="38"/>
      <x:c r="F96" s="46"/>
      <x:c r="G96" s="54"/>
      <x:c r="H96" s="38"/>
      <x:c r="I96" s="38"/>
      <x:c r="J96" s="54"/>
      <x:c r="K96" s="38"/>
      <x:c r="L96" s="58"/>
      <x:c r="M96" s="46"/>
      <x:c r="N96" s="46"/>
      <x:c r="O96" s="46"/>
      <x:c r="P96" s="46"/>
      <x:c r="Q96" s="38"/>
      <x:c r="R96" s="38"/>
      <x:c r="S96" s="38"/>
      <x:c r="T96" s="38"/>
      <x:c r="U96" s="38"/>
      <x:c r="V96" s="38"/>
    </x:row>
    <x:row r="97">
      <x:c r="A97" s="42"/>
      <x:c r="B97" s="38"/>
      <x:c r="C97" s="46"/>
      <x:c r="D97" s="38"/>
      <x:c r="E97" s="38"/>
      <x:c r="F97" s="46"/>
      <x:c r="G97" s="54"/>
      <x:c r="H97" s="38"/>
      <x:c r="I97" s="38"/>
      <x:c r="J97" s="54"/>
      <x:c r="K97" s="38"/>
      <x:c r="L97" s="58"/>
      <x:c r="M97" s="46"/>
      <x:c r="N97" s="46"/>
      <x:c r="O97" s="46"/>
      <x:c r="P97" s="46"/>
      <x:c r="Q97" s="38"/>
      <x:c r="R97" s="38"/>
      <x:c r="S97" s="38"/>
      <x:c r="T97" s="38"/>
      <x:c r="U97" s="38"/>
      <x:c r="V97" s="38"/>
    </x:row>
    <x:row r="98">
      <x:c r="A98" s="42"/>
      <x:c r="B98" s="38"/>
      <x:c r="C98" s="46"/>
      <x:c r="D98" s="38"/>
      <x:c r="E98" s="38"/>
      <x:c r="F98" s="46"/>
      <x:c r="G98" s="54"/>
      <x:c r="H98" s="38"/>
      <x:c r="I98" s="38"/>
      <x:c r="J98" s="54"/>
      <x:c r="K98" s="38"/>
      <x:c r="L98" s="58"/>
      <x:c r="M98" s="46"/>
      <x:c r="N98" s="46"/>
      <x:c r="O98" s="46"/>
      <x:c r="P98" s="46"/>
      <x:c r="Q98" s="38"/>
      <x:c r="R98" s="38"/>
      <x:c r="S98" s="38"/>
      <x:c r="T98" s="38"/>
      <x:c r="U98" s="38"/>
      <x:c r="V98" s="38"/>
    </x:row>
    <x:row r="99">
      <x:c r="A99" s="42"/>
      <x:c r="B99" s="38"/>
      <x:c r="C99" s="46"/>
      <x:c r="D99" s="38"/>
      <x:c r="E99" s="38"/>
      <x:c r="F99" s="46"/>
      <x:c r="G99" s="54"/>
      <x:c r="H99" s="38"/>
      <x:c r="I99" s="38"/>
      <x:c r="J99" s="54"/>
      <x:c r="K99" s="38"/>
      <x:c r="L99" s="58"/>
      <x:c r="M99" s="46"/>
      <x:c r="N99" s="46"/>
      <x:c r="O99" s="46"/>
      <x:c r="P99" s="46"/>
      <x:c r="Q99" s="38"/>
      <x:c r="R99" s="38"/>
      <x:c r="S99" s="38"/>
      <x:c r="T99" s="38"/>
      <x:c r="U99" s="38"/>
      <x:c r="V99" s="38"/>
    </x:row>
    <x:row r="100">
      <x:c r="A100" s="42"/>
      <x:c r="B100" s="38"/>
      <x:c r="C100" s="46"/>
      <x:c r="D100" s="38"/>
      <x:c r="E100" s="38"/>
      <x:c r="F100" s="46"/>
      <x:c r="G100" s="54"/>
      <x:c r="H100" s="38"/>
      <x:c r="I100" s="38"/>
      <x:c r="J100" s="54"/>
      <x:c r="K100" s="38"/>
      <x:c r="L100" s="58"/>
      <x:c r="M100" s="46"/>
      <x:c r="N100" s="46"/>
      <x:c r="O100" s="46"/>
      <x:c r="P100" s="46"/>
      <x:c r="Q100" s="38"/>
      <x:c r="R100" s="38"/>
      <x:c r="S100" s="38"/>
      <x:c r="T100" s="38"/>
      <x:c r="U100" s="38"/>
      <x:c r="V100" s="38"/>
    </x:row>
    <x:row r="101">
      <x:c r="A101" s="42"/>
      <x:c r="B101" s="38"/>
      <x:c r="C101" s="46"/>
      <x:c r="D101" s="38"/>
      <x:c r="E101" s="38"/>
      <x:c r="F101" s="46"/>
      <x:c r="G101" s="54"/>
      <x:c r="H101" s="38"/>
      <x:c r="I101" s="38"/>
      <x:c r="J101" s="54"/>
      <x:c r="K101" s="38"/>
      <x:c r="L101" s="58"/>
      <x:c r="M101" s="46"/>
      <x:c r="N101" s="46"/>
      <x:c r="O101" s="46"/>
      <x:c r="P101" s="46"/>
      <x:c r="Q101" s="38"/>
      <x:c r="R101" s="38"/>
      <x:c r="S101" s="38"/>
      <x:c r="T101" s="38"/>
      <x:c r="U101" s="38"/>
      <x:c r="V101" s="38"/>
    </x:row>
    <x:row r="102">
      <x:c r="A102" s="42"/>
      <x:c r="B102" s="38"/>
      <x:c r="C102" s="46"/>
      <x:c r="D102" s="38"/>
      <x:c r="E102" s="38"/>
      <x:c r="F102" s="46"/>
      <x:c r="G102" s="54"/>
      <x:c r="H102" s="38"/>
      <x:c r="I102" s="38"/>
      <x:c r="J102" s="54"/>
      <x:c r="K102" s="38"/>
      <x:c r="L102" s="58"/>
      <x:c r="M102" s="46"/>
      <x:c r="N102" s="46"/>
      <x:c r="O102" s="46"/>
      <x:c r="P102" s="46"/>
      <x:c r="Q102" s="38"/>
      <x:c r="R102" s="38"/>
      <x:c r="S102" s="38"/>
      <x:c r="T102" s="38"/>
      <x:c r="U102" s="38"/>
      <x:c r="V102" s="38"/>
    </x:row>
    <x:row r="103">
      <x:c r="A103" s="42"/>
      <x:c r="B103" s="38"/>
      <x:c r="C103" s="46"/>
      <x:c r="D103" s="38"/>
      <x:c r="E103" s="38"/>
      <x:c r="F103" s="46"/>
      <x:c r="G103" s="54"/>
      <x:c r="H103" s="38"/>
      <x:c r="I103" s="38"/>
      <x:c r="J103" s="54"/>
      <x:c r="K103" s="38"/>
      <x:c r="L103" s="58"/>
      <x:c r="M103" s="46"/>
      <x:c r="N103" s="46"/>
      <x:c r="O103" s="46"/>
      <x:c r="P103" s="46"/>
      <x:c r="Q103" s="38"/>
      <x:c r="R103" s="38"/>
      <x:c r="S103" s="38"/>
      <x:c r="T103" s="38"/>
      <x:c r="U103" s="38"/>
      <x:c r="V103" s="38"/>
    </x:row>
  </x:sheetData>
  <x:mergeCells>
    <x:mergeCell ref="A1:V1"/>
  </x:mergeCells>
  <x:conditionalFormatting sqref="R4:R103">
    <x:cfRule type="expression" dxfId="4" priority="1">
      <x:formula>R4="OK"</x:formula>
    </x:cfRule>
    <x:cfRule type="expression" dxfId="5" priority="2">
      <x:formula>AND(R4&lt;&gt;"",R4&lt;&gt;"OK")</x:formula>
    </x:cfRule>
  </x:conditionalFormatting>
  <x:conditionalFormatting sqref="S4:S103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{A28BC2C0-89F7-9B8C-BC5B-C424228100F8}</x14:id>
        </x:ext>
      </x:extLst>
    </x:cfRule>
  </x:conditionalFormatting>
  <x:dataValidations count="11">
    <x:dataValidation type="list" sqref="B4:B103">
      <x:formula1>"1D,1W,4H"</x:formula1>
    </x:dataValidation>
    <x:dataValidation type="list" sqref="D4:D103">
      <x:formula1>"WAIT,WATCH,BUY R,BUY B,BUY C,HOLD,TP,SELL"</x:formula1>
    </x:dataValidation>
    <x:dataValidation type="list" sqref="E4:E103">
      <x:formula1>"OUT,IN · REVERSAL,IN · BREAKOUT,IN · CONTINUATION"</x:formula1>
    </x:dataValidation>
    <x:dataValidation type="list" sqref="H4:H103">
      <x:formula1>"BULL,NEUTRAL,BEAR"</x:formula1>
    </x:dataValidation>
    <x:dataValidation type="list" sqref="I4:I103">
      <x:formula1>"BULL,NEUTRAL,BEAR,—"</x:formula1>
    </x:dataValidation>
    <x:dataValidation type="list" sqref="K4:K103">
      <x:formula1>"RISING,FLAT,FALLING"</x:formula1>
    </x:dataValidation>
    <x:dataValidation type="list" sqref="Q4:Q103">
      <x:formula1>"Aucune,Entrer,Conserver,TP partiel,Sortir"</x:formula1>
    </x:dataValidation>
    <x:dataValidation type="list" sqref="R4:R103">
      <x:formula1>"OK,Signal trop tôt,Signal trop tard,BUY manqué,SELL manqué,TP manqué,Faux BUY,Faux SELL,Trop de TP,Whipsaw,S/R bruit,Lisibilité,Autre"</x:formula1>
    </x:dataValidation>
    <x:dataValidation type="list" sqref="S4:S103">
      <x:formula1>"1,2,3,4,5"</x:formula1>
    </x:dataValidation>
    <x:dataValidation type="list" sqref="T4:T103">
      <x:formula1>"Non,Oui → BUY,Oui → HOLD,Oui → TP,Oui → SELL,Incertain"</x:formula1>
    </x:dataValidation>
    <x:dataValidation type="list" sqref="U4:U103">
      <x:formula1>"WAIT,WATCH,BUY R,BUY B,BUY C,HOLD,TP,SELL,Incertain"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e06d44b79f4eb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A28BC2C0-89F7-9B8C-BC5B-C424228100F8}">
            <x14:dataBar gradient="1">
              <x14:cfvo type="min"/>
              <x14:cfvo type="max"/>
              <x14:fillColor rgb="FFA02B93"/>
            </x14:dataBar>
          </x14:cfRule>
          <xm:sqref>S4:S103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54" hidden="0" customWidth="1"/>
  </x:cols>
  <x:sheetData>
    <x:row r="1">
      <x:c r="A1" s="5" t="str">
        <x:v>PARAMÈTRES DU TEST — BTC SIGNALS V4</x:v>
      </x:c>
      <x:c r="B1" s="5"/>
      <x:c r="C1" s="5"/>
      <x:c r="D1" s="5"/>
    </x:row>
    <x:row r="3">
      <x:c r="A3" s="14" t="str">
        <x:v>Paramètre</x:v>
      </x:c>
      <x:c r="B3" s="14" t="str">
        <x:v>Valeur</x:v>
      </x:c>
      <x:c r="C3" s="14" t="str">
        <x:v>Unité</x:v>
      </x:c>
      <x:c r="D3" s="14" t="str">
        <x:v>Source / utilisation</x:v>
      </x:c>
    </x:row>
    <x:row r="4">
      <x:c r="A4" t="str">
        <x:v>Capital virtuel initial</x:v>
      </x:c>
      <x:c r="B4" s="24" t="n">
        <x:v>10000</x:v>
      </x:c>
      <x:c r="C4" t="str">
        <x:v>USD</x:v>
      </x:c>
      <x:c r="D4" t="str">
        <x:v>À adapter au solde Paper Trading utilisé</x:v>
      </x:c>
    </x:row>
    <x:row r="5">
      <x:c r="A5" t="str">
        <x:v>Frais estimés par côté</x:v>
      </x:c>
      <x:c r="B5" s="26" t="n">
        <x:v>0.001</x:v>
      </x:c>
      <x:c r="C5" t="str">
        <x:v>%</x:v>
      </x:c>
      <x:c r="D5" t="str">
        <x:v>À remplacer par les frais réels de ton exchange avant passage en réel</x:v>
      </x:c>
    </x:row>
    <x:row r="6">
      <x:c r="A6" t="str">
        <x:v>Slippage estimé par côté</x:v>
      </x:c>
      <x:c r="B6" s="26" t="n">
        <x:v>0.0005</x:v>
      </x:c>
      <x:c r="C6" t="str">
        <x:v>%</x:v>
      </x:c>
      <x:c r="D6" t="str">
        <x:v>Hypothèse prudente de test</x:v>
      </x:c>
    </x:row>
    <x:row r="7">
      <x:c r="A7" t="str">
        <x:v>Risque max par trade</x:v>
      </x:c>
      <x:c r="B7" s="26" t="n">
        <x:v>0.01</x:v>
      </x:c>
      <x:c r="C7" t="str">
        <x:v>% capital</x:v>
      </x:c>
      <x:c r="D7" t="str">
        <x:v>Repère de gestion du risque</x:v>
      </x:c>
    </x:row>
    <x:row r="8">
      <x:c r="A8" t="str">
        <x:v>TP partiel standard</x:v>
      </x:c>
      <x:c r="B8" s="26" t="n">
        <x:v>0.25</x:v>
      </x:c>
      <x:c r="C8" t="str">
        <x:v>% position</x:v>
      </x:c>
      <x:c r="D8" t="str">
        <x:v>Part de position à sécuriser quand un TP est exécuté</x:v>
      </x:c>
    </x:row>
    <x:row r="9">
      <x:c r="A9" t="str">
        <x:v>Début du test</x:v>
      </x:c>
      <x:c r="B9" s="28" t="n">
        <x:v>46259</x:v>
      </x:c>
      <x:c r="C9" t="str">
        <x:v>date</x:v>
      </x:c>
      <x:c r="D9" t="str">
        <x:v>Semaine de test</x:v>
      </x:c>
    </x:row>
    <x:row r="10">
      <x:c r="A10" t="str">
        <x:v>Fin du test</x:v>
      </x:c>
      <x:c r="B10" s="28" t="n">
        <x:v>46266</x:v>
      </x:c>
      <x:c r="C10" t="str">
        <x:v>date</x:v>
      </x:c>
      <x:c r="D10" t="str">
        <x:v>7 jours de suivi</x:v>
      </x:c>
    </x:row>
    <x:row r="11">
      <x:c r="A11" t="str">
        <x:v>Script testé</x:v>
      </x:c>
      <x:c r="B11" s="22" t="str">
        <x:v>BTC Trading Signals V4.0</x:v>
      </x:c>
      <x:c r="C11" t="str"/>
      <x:c r="D11" t="str">
        <x:v>Ne pas changer de règles pendant la semaine</x:v>
      </x:c>
    </x:row>
    <x:row r="13" ht="54" customHeight="1">
      <x:c r="A13" s="32" t="str">
        <x:v>Important : pendant 7 jours, ne modifie pas les seuils du Pine Script. Le but est d'observer les défauts réels (retard, faux signal, TP/Sell manqué, whipsaw).</x:v>
      </x:c>
      <x:c r="B13" s="32"/>
      <x:c r="C13" s="32"/>
      <x:c r="D13" s="32"/>
    </x:row>
  </x:sheetData>
  <x:mergeCells>
    <x:mergeCell ref="A1:D1"/>
    <x:mergeCell ref="A13:D13"/>
  </x:mergeCells>
  <x:pageMargins left="0.7" right="0.7" top="0.75" bottom="0.75" header="0.3" footer="0.3"/>
</x:worksheet>
</file>